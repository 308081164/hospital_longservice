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9210" windowHeight="6570" firstSheet="5" activeTab="4"/>
  </bookViews>
  <sheets>
    <sheet name="Sheet2" sheetId="6" r:id="rId1"/>
    <sheet name="Sheet3" sheetId="8" r:id="rId2"/>
    <sheet name="Sheet1" sheetId="7" r:id="rId3"/>
    <sheet name="Sheet5" sheetId="10" r:id="rId4"/>
    <sheet name="Sheet4" sheetId="9" r:id="rId5"/>
  </sheets>
  <definedNames>
    <definedName name="_xlnm._FilterDatabase" localSheetId="4" hidden="1">Sheet4!$A$1:$H$1793</definedName>
  </definedNames>
  <calcPr calcId="191029" fullPrecision="0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<sst xmlns="http://schemas.openxmlformats.org/spreadsheetml/2006/main" count="6031" uniqueCount="321">
  <si>
    <t>哈尔滨市第五医院2026年4月9日-2026年5月8日科室灭菌价格汇总</t>
  </si>
  <si>
    <t>科室</t>
  </si>
  <si>
    <t>基础器械</t>
  </si>
  <si>
    <t>低温器械</t>
  </si>
  <si>
    <t>外来器械</t>
  </si>
  <si>
    <t>物流费用</t>
  </si>
  <si>
    <t>价格</t>
  </si>
  <si>
    <t>确认签字</t>
  </si>
  <si>
    <t>总灭菌费</t>
  </si>
  <si>
    <t>各科室占比</t>
  </si>
  <si>
    <t>总物流费</t>
  </si>
  <si>
    <t>合计费用</t>
  </si>
  <si>
    <t>（一）手术室</t>
  </si>
  <si>
    <t>（二）手术室</t>
  </si>
  <si>
    <t>骨一(一病区)</t>
  </si>
  <si>
    <t>骨一(二病区)</t>
  </si>
  <si>
    <t>骨二</t>
  </si>
  <si>
    <t>骨三</t>
  </si>
  <si>
    <t>骨四</t>
  </si>
  <si>
    <t>骨四（二）</t>
  </si>
  <si>
    <t>骨五</t>
  </si>
  <si>
    <t>骨六</t>
  </si>
  <si>
    <t>骨七</t>
  </si>
  <si>
    <t>骨八</t>
  </si>
  <si>
    <t>骨九</t>
  </si>
  <si>
    <t>骨十</t>
  </si>
  <si>
    <t>骨十一</t>
  </si>
  <si>
    <t>骨十一（二）</t>
  </si>
  <si>
    <t>胸外科</t>
  </si>
  <si>
    <t>创伤外科</t>
  </si>
  <si>
    <t>普外二</t>
  </si>
  <si>
    <t>普外三</t>
  </si>
  <si>
    <t>神外病区</t>
  </si>
  <si>
    <t>偏瘫科</t>
  </si>
  <si>
    <t>烧伤一科</t>
  </si>
  <si>
    <t>烧伤二科</t>
  </si>
  <si>
    <t>烧伤三科</t>
  </si>
  <si>
    <t>慢创</t>
  </si>
  <si>
    <t>ICU</t>
  </si>
  <si>
    <t>妇产科</t>
  </si>
  <si>
    <t>产科分娩室</t>
  </si>
  <si>
    <t>呼吸</t>
  </si>
  <si>
    <t>肾内科</t>
  </si>
  <si>
    <t>急诊科</t>
  </si>
  <si>
    <t>耳鼻喉手术室</t>
  </si>
  <si>
    <t>耳鼻喉门诊</t>
  </si>
  <si>
    <t>眼科门诊</t>
  </si>
  <si>
    <t>口内</t>
  </si>
  <si>
    <t>口外</t>
  </si>
  <si>
    <t>妇科门诊</t>
  </si>
  <si>
    <t>美容科</t>
  </si>
  <si>
    <t>门诊换药室</t>
  </si>
  <si>
    <t>疼痛门诊</t>
  </si>
  <si>
    <t>腔镜室</t>
  </si>
  <si>
    <t>肛肠门诊</t>
  </si>
  <si>
    <t>冲击波门诊</t>
  </si>
  <si>
    <t>内分泌</t>
  </si>
  <si>
    <t>全科</t>
  </si>
  <si>
    <t>二门诊口腔科</t>
  </si>
  <si>
    <t>二门诊美容科</t>
  </si>
  <si>
    <t>二门诊手术室</t>
  </si>
  <si>
    <t>总计</t>
  </si>
  <si>
    <t>包名</t>
  </si>
  <si>
    <t>求和项:包数</t>
  </si>
  <si>
    <t>求和项:总价</t>
  </si>
  <si>
    <t>3号刀柄-1/z7526</t>
  </si>
  <si>
    <t>4号刀柄-1/z7526</t>
  </si>
  <si>
    <t>厂家电钻-3/W7060</t>
  </si>
  <si>
    <t>持物钳罐-2件/W605060</t>
  </si>
  <si>
    <t>持针器-1/Z1026</t>
  </si>
  <si>
    <t>尺-1/W605060</t>
  </si>
  <si>
    <t>锤子-1/双z1535</t>
  </si>
  <si>
    <t>大烧伤</t>
  </si>
  <si>
    <t>弹钩-2/W6050</t>
  </si>
  <si>
    <t>地巾</t>
  </si>
  <si>
    <t>电动取皮机-6件 筐1/W12050</t>
  </si>
  <si>
    <t>电钻-3/W705060</t>
  </si>
  <si>
    <t>方盘-1/W9050</t>
  </si>
  <si>
    <t>缝合包</t>
  </si>
  <si>
    <t>肛肠包</t>
  </si>
  <si>
    <t>肛肠探针-1/Z7520</t>
  </si>
  <si>
    <t>肱骨复位器-2/W5050</t>
  </si>
  <si>
    <t>钩镊-1/Z7526</t>
  </si>
  <si>
    <t>骨锉-1/W605060</t>
  </si>
  <si>
    <t>骨电钻-2件</t>
  </si>
  <si>
    <t>骨电钻-3件/W705060</t>
  </si>
  <si>
    <t>骨科剥离质-1/Z7534</t>
  </si>
  <si>
    <t>固指板-1/W7050</t>
  </si>
  <si>
    <t>刮勺-1/Z7526</t>
  </si>
  <si>
    <t>滚轴(植皮刀)-1件/W6050</t>
  </si>
  <si>
    <t>肌钩-2/Z1026</t>
  </si>
  <si>
    <t>尖嘴复位器-1/Z1535</t>
  </si>
  <si>
    <t>剪刀-1/Z1530</t>
  </si>
  <si>
    <t>剪刀小-1/Z1026</t>
  </si>
  <si>
    <t>解剖剪刀-1/Z1029</t>
  </si>
  <si>
    <t>巾钳子-1/Z1026</t>
  </si>
  <si>
    <t>旧轧皮机（1号）-2件盒1/W9050</t>
  </si>
  <si>
    <t>旧轧皮机（2号）-2件盒1/W12050</t>
  </si>
  <si>
    <t>旧轧皮机（2号）-4盒1/W12050</t>
  </si>
  <si>
    <t>克氏钳-1/双z1029</t>
  </si>
  <si>
    <t>扩肛器-1/W5050</t>
  </si>
  <si>
    <t>麻杯-1/Z1526</t>
  </si>
  <si>
    <t>慢创包</t>
  </si>
  <si>
    <t>门诊整形（四）</t>
  </si>
  <si>
    <t>门诊整形（五）</t>
  </si>
  <si>
    <t>门诊整形（一）</t>
  </si>
  <si>
    <t>门诊整形包（二）</t>
  </si>
  <si>
    <t>门诊整形包（三）</t>
  </si>
  <si>
    <t>平镊-1/Z7530</t>
  </si>
  <si>
    <t>气管切开包</t>
  </si>
  <si>
    <t>切开包-10件</t>
  </si>
  <si>
    <t>驱血带</t>
  </si>
  <si>
    <t>手科包</t>
  </si>
  <si>
    <t>手科剥离质-1/Z7530</t>
  </si>
  <si>
    <t>手科骨锉-1/Z7526</t>
  </si>
  <si>
    <t>手科爪鞍钩-1 /Z7526</t>
  </si>
  <si>
    <t>手科爪钩-2/Z1535</t>
  </si>
  <si>
    <t>手刷盒/w9050</t>
  </si>
  <si>
    <t>头皮夹钳-1/Z1530</t>
  </si>
  <si>
    <t>弯盘1小碗1/W9050</t>
  </si>
  <si>
    <t>线锯-1/Z1026</t>
  </si>
  <si>
    <t>小烧伤</t>
  </si>
  <si>
    <t>小弯止血钳-4/Z1530</t>
  </si>
  <si>
    <t>小止血钳-2/z1026</t>
  </si>
  <si>
    <t>新轧皮机1号-2件（盒1）</t>
  </si>
  <si>
    <t>新轧皮机1号-4件（盒1）</t>
  </si>
  <si>
    <t>新轧皮机2号-2件（盒1）</t>
  </si>
  <si>
    <t>咬钉器-1手柄-2/W6050</t>
  </si>
  <si>
    <t>咬骨剪-1/Z2032</t>
  </si>
  <si>
    <t>咬骨钳-1/Z2032</t>
  </si>
  <si>
    <t>咬丝器-1/Z双2032</t>
  </si>
  <si>
    <t>咬丝器1持针器1/W6050</t>
  </si>
  <si>
    <t>凿子-3/双z1029</t>
  </si>
  <si>
    <t>扎皮机板-2件/z2025</t>
  </si>
  <si>
    <t>扎皮机板-4件/Z1029</t>
  </si>
  <si>
    <t>爪鞍钩-2 /Z7526</t>
  </si>
  <si>
    <t>整形包</t>
  </si>
  <si>
    <t>植皮刀片-1/Z7520</t>
  </si>
  <si>
    <t>止血钳-4/Z1530</t>
  </si>
  <si>
    <t>止血钳大-2/Z1535</t>
  </si>
  <si>
    <t>中心持骨器-2/w6050</t>
  </si>
  <si>
    <t>组织钳-1/Z1026</t>
  </si>
  <si>
    <t>(空白)</t>
  </si>
  <si>
    <t>发货日期</t>
  </si>
  <si>
    <t>发货单号</t>
  </si>
  <si>
    <t>类型</t>
  </si>
  <si>
    <t>包类别号</t>
  </si>
  <si>
    <t>包数</t>
  </si>
  <si>
    <t>单价</t>
  </si>
  <si>
    <t>总价</t>
  </si>
  <si>
    <t>器械包</t>
  </si>
  <si>
    <t>额外包(纸塑袋)</t>
  </si>
  <si>
    <t>器械包(ZSD)</t>
  </si>
  <si>
    <t>额外包(无纺布)</t>
  </si>
  <si>
    <t>单包装包</t>
  </si>
  <si>
    <t>敷料包</t>
  </si>
  <si>
    <t>敷料包(无纺布包)</t>
  </si>
  <si>
    <t>0103机器人（高温）-22件盒1</t>
  </si>
  <si>
    <t>0138机器人（高温）-22件盒1</t>
  </si>
  <si>
    <t>2.5钻头3件（继元）/Z7530</t>
  </si>
  <si>
    <t>261机器人-6件（带盒7件）</t>
  </si>
  <si>
    <t>263机器人-9件（高温）</t>
  </si>
  <si>
    <t>264机器人-8件（高温）</t>
  </si>
  <si>
    <t>40001机器人-8件（高温）</t>
  </si>
  <si>
    <t>AR水管-2件/双/Z1530</t>
  </si>
  <si>
    <t>DMD光源4号-1/W905060</t>
  </si>
  <si>
    <t>鞍钩-2/W605060</t>
  </si>
  <si>
    <t>半月板缝合器械-4/Z1020</t>
  </si>
  <si>
    <t>半月板钩-6/W605060</t>
  </si>
  <si>
    <t>闭合包</t>
  </si>
  <si>
    <t>博进骨动力-8件（盒1）/W1205060</t>
  </si>
  <si>
    <t>博进骨动力-9件（盒1）/W1205060</t>
  </si>
  <si>
    <t>博进磨头-1件/Z7520</t>
  </si>
  <si>
    <t>叉勾-7/W605060</t>
  </si>
  <si>
    <t>产科手术器械包</t>
  </si>
  <si>
    <t>超声骨动力系统</t>
  </si>
  <si>
    <t>尺桡复位器-2/W405060</t>
  </si>
  <si>
    <t>穿刺针（带芯）-2/Z7520</t>
  </si>
  <si>
    <t>穿刺针-1（带芯）/7526</t>
  </si>
  <si>
    <t>创伤1号机器人-4件（盒1）</t>
  </si>
  <si>
    <t>创伤1号机器人-7件</t>
  </si>
  <si>
    <t>创伤1号机器人-8件（带盒9件）</t>
  </si>
  <si>
    <t>创伤2号机器人-4件（盒1）</t>
  </si>
  <si>
    <t>创伤2号机器人-7件（盒1）</t>
  </si>
  <si>
    <t>锤子 -1件/双/Z1030</t>
  </si>
  <si>
    <t>锤子1凿子1剥离质1/W605060</t>
  </si>
  <si>
    <t>大盆-1/w1205060</t>
  </si>
  <si>
    <t>弹钩-2/W605060</t>
  </si>
  <si>
    <t>德美2号刨刀-1/双/Z2550</t>
  </si>
  <si>
    <t>德美4K1号刨刀-1/W6050</t>
  </si>
  <si>
    <t>德美肩钩-5件/W505060</t>
  </si>
  <si>
    <t>德美刨刀（高温）-1/Z2044</t>
  </si>
  <si>
    <t>德美刨刀3号-1/双Z2550</t>
  </si>
  <si>
    <t>德美膝器械11件盒1（二）</t>
  </si>
  <si>
    <t>德美膝器械11件盒1（一）</t>
  </si>
  <si>
    <t>德美膝器械12件盒1（三）</t>
  </si>
  <si>
    <t>德美膝器械12件盒1（四）</t>
  </si>
  <si>
    <t>德美新1水管-2/双/Z1526</t>
  </si>
  <si>
    <t>德美新2水管-2件/Z1530</t>
  </si>
  <si>
    <t>德美新3水管 -2件/Z2530</t>
  </si>
  <si>
    <t>骶棘拉钩-2/W605060</t>
  </si>
  <si>
    <t>电极线-1/Z1540</t>
  </si>
  <si>
    <t>动力转换器-1/Z1526</t>
  </si>
  <si>
    <t>断钉取出器械-30件（张伟）</t>
  </si>
  <si>
    <t>妇产科布袋/ W6050</t>
  </si>
  <si>
    <t>妇产科直角钳-6件/W605060</t>
  </si>
  <si>
    <t>宫腔镜架内外鞘环-6件/Z2060</t>
  </si>
  <si>
    <t>骨把持器1钢板折弯器2/W605060</t>
  </si>
  <si>
    <t>骨动力-8 盒1/w1205060</t>
  </si>
  <si>
    <t>骨动力-8件（盒1）/W1205060</t>
  </si>
  <si>
    <t>骨动力-9件（盒1）/W1205060</t>
  </si>
  <si>
    <t>骨动力-带盒9件</t>
  </si>
  <si>
    <t>骨二高川勃（伊）万能取-64/W9060</t>
  </si>
  <si>
    <t>骨二李琛万能取-49件</t>
  </si>
  <si>
    <t>骨六房玉利肩钩常备器械</t>
  </si>
  <si>
    <t>骨盆骨折包</t>
  </si>
  <si>
    <t>骨十一赵德来常备万能取 -64件/W1205060</t>
  </si>
  <si>
    <t>滚轴-1/W6050</t>
  </si>
  <si>
    <t>踝关节光源线-1/Z2545</t>
  </si>
  <si>
    <t>机器人器械-4件/w5050</t>
  </si>
  <si>
    <t>机器人套筒1.6-1/Z7530</t>
  </si>
  <si>
    <t>机器人套筒125-190-1件/Z7534</t>
  </si>
  <si>
    <t>机器人套筒-2/W405060</t>
  </si>
  <si>
    <t>机器人套筒3.3-1/Z7530</t>
  </si>
  <si>
    <t>肌钩-2/W5050</t>
  </si>
  <si>
    <t>脊柱常备器械</t>
  </si>
  <si>
    <t>脊柱常备器械髓核少1</t>
  </si>
  <si>
    <t>脊柱机器人262</t>
  </si>
  <si>
    <t>脊柱加件-6件/W605060</t>
  </si>
  <si>
    <t>甲状腺加件-4件/w505060</t>
  </si>
  <si>
    <t>甲状腺拉钩-2/W505060</t>
  </si>
  <si>
    <t>尖嘴复位器-2/W605060</t>
  </si>
  <si>
    <t>剪切钳-1/W505060</t>
  </si>
  <si>
    <t>胫腓骨拉勾-2/W605060</t>
  </si>
  <si>
    <t>胫骨平台顶棒器-3/W405060</t>
  </si>
  <si>
    <t>镜骨九（1）</t>
  </si>
  <si>
    <t>镜骨九（2）</t>
  </si>
  <si>
    <t>旧水管-3件/W605060</t>
  </si>
  <si>
    <t>锯片-5件/Z1026</t>
  </si>
  <si>
    <t>开颅包</t>
  </si>
  <si>
    <t>克氏钳-1/W405060</t>
  </si>
  <si>
    <t>髋臼凿子-2/W505060</t>
  </si>
  <si>
    <t>刘断钉取（蓝)-51件（盒1）</t>
  </si>
  <si>
    <t>刘绍辉断钉取-带盒48件</t>
  </si>
  <si>
    <t>米氏钳-2/W605060</t>
  </si>
  <si>
    <t>棉球/Z1530</t>
  </si>
  <si>
    <t>拇外翻工具-2/双Z1020</t>
  </si>
  <si>
    <t>脑科无钩尖镊-2/ W505060</t>
  </si>
  <si>
    <t>脑外西山磨钻-3件/W705060</t>
  </si>
  <si>
    <t>脑外专用包</t>
  </si>
  <si>
    <t>聂断钉取（红）-55件，盒1</t>
  </si>
  <si>
    <t>盘1碗2/w9050</t>
  </si>
  <si>
    <t>气管切开</t>
  </si>
  <si>
    <t>取针钳-1/W505060</t>
  </si>
  <si>
    <t>取针咬骨钳-1件/W505060</t>
  </si>
  <si>
    <t>软骨转移器械-13件/W605060</t>
  </si>
  <si>
    <t>睿米机器人（一）-21件（高温）</t>
  </si>
  <si>
    <t>睿米机器人（一）-3件（高温）</t>
  </si>
  <si>
    <t>上肢包</t>
  </si>
  <si>
    <t>上肢加件-3/W605060</t>
  </si>
  <si>
    <t>上肢止血带</t>
  </si>
  <si>
    <t>深钩-2/W605060</t>
  </si>
  <si>
    <t>施乐辉肩镜器械</t>
  </si>
  <si>
    <t>施牙钳-2/W4050</t>
  </si>
  <si>
    <t>史赛克3.2克氏针钻-带盒4件</t>
  </si>
  <si>
    <t>史赛克摆锯骨动力-4（带盒5件）</t>
  </si>
  <si>
    <t>史赛克多功能锯钻-7（带盒8件）</t>
  </si>
  <si>
    <t>史赛克锯片-1/Z1020</t>
  </si>
  <si>
    <t>史赛克锯钻骨动力-7（带盒8件）</t>
  </si>
  <si>
    <t>史赛克磨钻骨动力-9件 筐1/W1205060</t>
  </si>
  <si>
    <t>史赛克微型钻-5 盒1/W1205060</t>
  </si>
  <si>
    <t>试用肩镜-2件/双/Z2030</t>
  </si>
  <si>
    <t>手科咬骨钳1 刮勺1/W505060</t>
  </si>
  <si>
    <t>手科爪鞍钩-4件/W505060</t>
  </si>
  <si>
    <t>手套</t>
  </si>
  <si>
    <t>刷手服</t>
  </si>
  <si>
    <t>外科包</t>
  </si>
  <si>
    <t>外科内镜0度-1/W9050</t>
  </si>
  <si>
    <t>腕关节镜水管-2/Z1026</t>
  </si>
  <si>
    <t xml:space="preserve">腕镜头30度-1 </t>
  </si>
  <si>
    <t>往复锯（二）-带盒6件</t>
  </si>
  <si>
    <t>胃肠加件</t>
  </si>
  <si>
    <t>蚊式2 中弯2/Z1530</t>
  </si>
  <si>
    <t>西山摆锯-3件/W6050</t>
  </si>
  <si>
    <t>西山骨动力（2）/W505060</t>
  </si>
  <si>
    <t>西山骨动力1号-1/双/Z2530</t>
  </si>
  <si>
    <t>吸引器头1芯1/Z7530</t>
  </si>
  <si>
    <t>洗毛盒</t>
  </si>
  <si>
    <t>洗手巾/W12050</t>
  </si>
  <si>
    <t>下肢包</t>
  </si>
  <si>
    <t>下肢止血带</t>
  </si>
  <si>
    <t>小布袋/w6050</t>
  </si>
  <si>
    <t>新机器人（一）-21件（高温）</t>
  </si>
  <si>
    <t>新机器人（一）-2件（高温）</t>
  </si>
  <si>
    <t>新膝镜（二）-10件/W9050</t>
  </si>
  <si>
    <t>新膝镜（一）-10件/W9050</t>
  </si>
  <si>
    <t>新腰备</t>
  </si>
  <si>
    <t>胸骨磨钻-带盒13件</t>
  </si>
  <si>
    <t>胸腔镜-17件（筐1）</t>
  </si>
  <si>
    <t>胸腔镜加件-13件</t>
  </si>
  <si>
    <t>胸质钳-1/W505060</t>
  </si>
  <si>
    <t>腰间盘镜(三)</t>
  </si>
  <si>
    <t>咬骨剪子1刮勺1/W605060</t>
  </si>
  <si>
    <t>咬骨钳1刮勺1/W605060</t>
  </si>
  <si>
    <t>咬丝器-1/W6050</t>
  </si>
  <si>
    <t>阴道拉钩-6/W7050</t>
  </si>
  <si>
    <t>鹰嘴咬骨钳1刮勺1/W605060</t>
  </si>
  <si>
    <t>凿子-3/W605060</t>
  </si>
  <si>
    <t>张伟镜头-1/W6050</t>
  </si>
  <si>
    <t>中直钳-2/Z1530</t>
  </si>
  <si>
    <t>抓线钳-1/W4550</t>
  </si>
  <si>
    <t>椎间孔镜（三）</t>
  </si>
  <si>
    <t>椎体成型包-12件</t>
  </si>
  <si>
    <t>子宫包</t>
  </si>
  <si>
    <t>子宫托钳-2/W6050</t>
  </si>
  <si>
    <t>自动拉钩1爪2/W7050</t>
  </si>
  <si>
    <t>额外包(低温等离子)</t>
  </si>
  <si>
    <t>单包装包(老肯低温)</t>
  </si>
  <si>
    <t>敷料包(纸塑袋)</t>
  </si>
  <si>
    <t>器械包(低温等离子)</t>
  </si>
  <si>
    <t>器械包(ETO)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</si>
</sst>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.00;\(0.00\)"/>
    <numFmt numFmtId="178" formatCode="0.00_ "/>
    <numFmt numFmtId="179" formatCode="0.00_);[Red]\(0.00\)"/>
    <numFmt numFmtId="180" formatCode="0.0000000000_ "/>
    <numFmt numFmtId="181" formatCode="0.00_);\(0.00\)"/>
  </numFmts>
  <fonts count="31">
    <font>
      <sz val="11"/>
      <name val="宋体"/>
      <charset val="134"/>
      <scheme val="minor"/>
    </font>
    <font>
      <sz val="10"/>
      <color rgb="FF000000"/>
      <name val="Droid Sans Fallback"/>
      <charset val="134"/>
    </font>
    <font>
      <sz val="12"/>
      <color rgb="FF000000"/>
      <name val="宋体"/>
      <charset val="134"/>
    </font>
    <font>
      <sz val="11"/>
      <color rgb="FF000000"/>
      <name val="微软雅黑"/>
      <charset val="134"/>
    </font>
    <font>
      <sz val="12"/>
      <color rgb="FF000000"/>
      <name val="微软雅黑"/>
      <charset val="134"/>
    </font>
    <font>
      <sz val="12"/>
      <name val="微软雅黑"/>
      <charset val="134"/>
    </font>
    <font>
      <b/>
      <sz val="14"/>
      <color rgb="FF000000"/>
      <name val="微软雅黑"/>
      <charset val="134"/>
    </font>
    <font>
      <b/>
      <sz val="14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30" fillId="0" borderId="0"/>
  </cellStyleXfs>
  <cellXfs count="49">
    <xf numFmtId="0" fontId="0" fillId="0" borderId="0" xfId="0" applyFont="1" applyFill="1" applyBorder="1" applyAlignment="1"/>
    <xf numFmtId="0" fontId="1" fillId="0" borderId="1" xfId="0" applyNumberFormat="1" applyFont="1" applyFill="1" applyBorder="1" applyAlignment="1">
      <alignment horizontal="center" vertical="top" wrapText="1" readingOrder="1"/>
    </xf>
    <xf numFmtId="176" fontId="1" fillId="0" borderId="2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horizontal="center" vertical="top" wrapText="1" readingOrder="1"/>
    </xf>
    <xf numFmtId="177" fontId="1" fillId="0" borderId="2" xfId="0" applyNumberFormat="1" applyFont="1" applyFill="1" applyBorder="1" applyAlignment="1">
      <alignment horizontal="center" vertical="top" wrapText="1" readingOrder="1"/>
    </xf>
    <xf numFmtId="176" fontId="1" fillId="2" borderId="2" xfId="0" applyNumberFormat="1" applyFont="1" applyFill="1" applyBorder="1" applyAlignment="1">
      <alignment vertical="top" wrapText="1" readingOrder="1"/>
    </xf>
    <xf numFmtId="0" fontId="1" fillId="2" borderId="2" xfId="0" applyNumberFormat="1" applyFont="1" applyFill="1" applyBorder="1" applyAlignment="1">
      <alignment vertical="top" wrapText="1" readingOrder="1"/>
    </xf>
    <xf numFmtId="0" fontId="1" fillId="2" borderId="2" xfId="0" applyNumberFormat="1" applyFont="1" applyFill="1" applyBorder="1" applyAlignment="1">
      <alignment horizontal="center" vertical="top" wrapText="1" readingOrder="1"/>
    </xf>
    <xf numFmtId="177" fontId="1" fillId="2" borderId="2" xfId="0" applyNumberFormat="1" applyFont="1" applyFill="1" applyBorder="1" applyAlignment="1">
      <alignment horizontal="center" vertical="top" wrapText="1" readingOrder="1"/>
    </xf>
    <xf numFmtId="176" fontId="1" fillId="3" borderId="2" xfId="0" applyNumberFormat="1" applyFont="1" applyFill="1" applyBorder="1" applyAlignment="1">
      <alignment vertical="top" wrapText="1" readingOrder="1"/>
    </xf>
    <xf numFmtId="0" fontId="1" fillId="3" borderId="2" xfId="0" applyNumberFormat="1" applyFont="1" applyFill="1" applyBorder="1" applyAlignment="1">
      <alignment vertical="top" wrapText="1" readingOrder="1"/>
    </xf>
    <xf numFmtId="0" fontId="1" fillId="3" borderId="2" xfId="0" applyNumberFormat="1" applyFont="1" applyFill="1" applyBorder="1" applyAlignment="1">
      <alignment horizontal="center" vertical="top" wrapText="1" readingOrder="1"/>
    </xf>
    <xf numFmtId="177" fontId="1" fillId="3" borderId="2" xfId="0" applyNumberFormat="1" applyFont="1" applyFill="1" applyBorder="1" applyAlignment="1">
      <alignment horizontal="center" vertical="top" wrapText="1" readingOrder="1"/>
    </xf>
    <xf numFmtId="176" fontId="1" fillId="0" borderId="2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horizontal="center" vertical="top" wrapText="1" readingOrder="1"/>
    </xf>
    <xf numFmtId="177" fontId="1" fillId="0" borderId="2" xfId="0" applyNumberFormat="1" applyFont="1" applyFill="1" applyBorder="1" applyAlignment="1">
      <alignment horizontal="center" vertical="top" wrapText="1" readingOrder="1"/>
    </xf>
    <xf numFmtId="0" fontId="2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Border="1">
      <alignment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178" fontId="5" fillId="0" borderId="0" xfId="0" applyNumberFormat="1" applyFont="1" applyFill="1" applyAlignment="1">
      <alignment horizontal="center" vertical="center"/>
    </xf>
    <xf numFmtId="179" fontId="4" fillId="0" borderId="0" xfId="0" applyNumberFormat="1" applyFont="1" applyFill="1" applyAlignment="1">
      <alignment horizontal="center" vertical="center"/>
    </xf>
    <xf numFmtId="178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78" fontId="7" fillId="0" borderId="0" xfId="0" applyNumberFormat="1" applyFont="1" applyFill="1" applyAlignment="1">
      <alignment horizontal="center" vertical="center"/>
    </xf>
    <xf numFmtId="179" fontId="6" fillId="0" borderId="0" xfId="0" applyNumberFormat="1" applyFont="1" applyFill="1" applyAlignment="1">
      <alignment horizontal="center" vertical="center"/>
    </xf>
    <xf numFmtId="178" fontId="6" fillId="0" borderId="0" xfId="0" applyNumberFormat="1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178" fontId="8" fillId="0" borderId="3" xfId="0" applyNumberFormat="1" applyFont="1" applyFill="1" applyBorder="1" applyAlignment="1">
      <alignment horizontal="center" vertical="center"/>
    </xf>
    <xf numFmtId="178" fontId="3" fillId="0" borderId="3" xfId="0" applyNumberFormat="1" applyFont="1" applyFill="1" applyBorder="1" applyAlignment="1">
      <alignment horizontal="center" vertical="center"/>
    </xf>
    <xf numFmtId="179" fontId="3" fillId="0" borderId="3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179" fontId="3" fillId="0" borderId="0" xfId="0" applyNumberFormat="1" applyFont="1" applyFill="1" applyBorder="1" applyAlignment="1">
      <alignment vertical="center"/>
    </xf>
    <xf numFmtId="180" fontId="3" fillId="0" borderId="0" xfId="0" applyNumberFormat="1" applyFont="1" applyFill="1" applyBorder="1" applyAlignment="1">
      <alignment vertical="center"/>
    </xf>
    <xf numFmtId="0" fontId="3" fillId="0" borderId="3" xfId="0" applyNumberFormat="1" applyFont="1" applyFill="1" applyBorder="1" applyAlignment="1">
      <alignment horizontal="left" vertical="center" wrapText="1" readingOrder="1"/>
    </xf>
    <xf numFmtId="177" fontId="8" fillId="0" borderId="3" xfId="0" applyNumberFormat="1" applyFont="1" applyFill="1" applyBorder="1" applyAlignment="1">
      <alignment horizontal="center" vertical="center" wrapText="1" readingOrder="1"/>
    </xf>
    <xf numFmtId="181" fontId="3" fillId="0" borderId="3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horizontal="left" vertical="center" wrapText="1" readingOrder="1"/>
    </xf>
    <xf numFmtId="177" fontId="9" fillId="0" borderId="3" xfId="0" applyNumberFormat="1" applyFont="1" applyFill="1" applyBorder="1" applyAlignment="1">
      <alignment horizontal="center" vertical="center" wrapText="1" readingOrder="1"/>
    </xf>
    <xf numFmtId="178" fontId="9" fillId="0" borderId="3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2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99.5139930556" refreshedBy="联想瑞天" recordCount="1056">
  <cacheSource type="worksheet">
    <worksheetSource ref="A1:H1048576" sheet="Sheet1"/>
  </cacheSource>
  <cacheFields count="8">
    <cacheField name="发货日期" numFmtId="0">
      <sharedItems containsString="0" containsBlank="1" containsNonDate="0" containsDate="1" minDate="2026-05-09T00:00:00" maxDate="2026-06-08T00:00:00" count="32"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m/>
      </sharedItems>
    </cacheField>
    <cacheField name="发货单号" numFmtId="0">
      <sharedItems containsString="0" containsBlank="1" containsNumber="1" containsInteger="1" minValue="1601602" maxValue="1610322" count="88">
        <n v="1601602"/>
        <n v="1601710"/>
        <n v="1601734"/>
        <n v="1601863"/>
        <n v="1601874"/>
        <n v="1601911"/>
        <n v="1602078"/>
        <n v="1602089"/>
        <n v="1602343"/>
        <n v="1602433"/>
        <n v="1602460"/>
        <n v="1602484"/>
        <n v="1602647"/>
        <n v="1602750"/>
        <n v="1602800"/>
        <n v="1603015"/>
        <n v="1603115"/>
        <n v="1603179"/>
        <n v="1603208"/>
        <n v="1603411"/>
        <n v="1603511"/>
        <n v="1603570"/>
        <n v="1603772"/>
        <n v="1603851"/>
        <n v="1603858"/>
        <n v="1603912"/>
        <n v="1603950"/>
        <n v="1604038"/>
        <n v="1604049"/>
        <n v="1604109"/>
        <n v="1604358"/>
        <n v="1604465"/>
        <n v="1604471"/>
        <n v="1604712"/>
        <n v="1604844"/>
        <n v="1604877"/>
        <n v="1605065"/>
        <n v="1605220"/>
        <n v="1605257"/>
        <n v="1605470"/>
        <n v="1605601"/>
        <n v="1605821"/>
        <n v="1605831"/>
        <n v="1605924"/>
        <n v="1606018"/>
        <n v="1606109"/>
        <n v="1606168"/>
        <n v="1606420"/>
        <n v="1606550"/>
        <n v="1606565"/>
        <n v="1606785"/>
        <n v="1606878"/>
        <n v="1606918"/>
        <n v="1607131"/>
        <n v="1607286"/>
        <n v="1607292"/>
        <n v="1607517"/>
        <n v="1607652"/>
        <n v="1607869"/>
        <n v="1607960"/>
        <n v="1608021"/>
        <n v="1608146"/>
        <n v="1608149"/>
        <n v="1608432"/>
        <n v="1608518"/>
        <n v="1608542"/>
        <n v="1608581"/>
        <n v="1608795"/>
        <n v="1608854"/>
        <n v="1608915"/>
        <n v="1608941"/>
        <n v="1608945"/>
        <n v="1609165"/>
        <n v="1609182"/>
        <n v="1609186"/>
        <n v="1609292"/>
        <n v="1609302"/>
        <n v="1609592"/>
        <n v="1609725"/>
        <n v="1609742"/>
        <n v="1609936"/>
        <n v="1609981"/>
        <n v="1610039"/>
        <n v="1610141"/>
        <n v="1610243"/>
        <n v="1610250"/>
        <n v="1610322"/>
        <m/>
      </sharedItems>
    </cacheField>
    <cacheField name="类型" numFmtId="0">
      <sharedItems containsBlank="1" count="8">
        <s v="器械包"/>
        <s v="额外包(纸塑袋)"/>
        <s v="器械包(ZSD)"/>
        <s v="额外包(无纺布)"/>
        <s v="单包装包"/>
        <s v="敷料包"/>
        <s v="敷料包(无纺布包)"/>
        <m/>
      </sharedItems>
    </cacheField>
    <cacheField name="包类别号" numFmtId="0">
      <sharedItems containsString="0" containsBlank="1" containsNumber="1" containsInteger="1" minValue="20014824" maxValue="20421967" count="76">
        <n v="20326613"/>
        <n v="20312951"/>
        <n v="20329846"/>
        <n v="20329843"/>
        <n v="20318250"/>
        <n v="20331668"/>
        <n v="20333778"/>
        <n v="20329847"/>
        <n v="20318231"/>
        <n v="20333142"/>
        <n v="20318254"/>
        <n v="20328892"/>
        <n v="20335814"/>
        <n v="20329844"/>
        <n v="20318262"/>
        <n v="20014827"/>
        <n v="20321688"/>
        <n v="20321468"/>
        <n v="20318197"/>
        <n v="20342042"/>
        <n v="20318257"/>
        <n v="20329981"/>
        <n v="20331472"/>
        <n v="20321257"/>
        <n v="20328374"/>
        <n v="20318156"/>
        <n v="20329874"/>
        <n v="20328192"/>
        <n v="20421967"/>
        <n v="20318247"/>
        <n v="20318235"/>
        <n v="20318166"/>
        <n v="20318259"/>
        <n v="20351811"/>
        <n v="20318241"/>
        <n v="20318236"/>
        <n v="20351064"/>
        <n v="20318229"/>
        <n v="20377845"/>
        <n v="20411130"/>
        <n v="20411133"/>
        <n v="20367697"/>
        <n v="20322228"/>
        <n v="20318379"/>
        <n v="20318094"/>
        <n v="20320789"/>
        <n v="20329845"/>
        <n v="20394933"/>
        <n v="20318243"/>
        <n v="20321810"/>
        <n v="20318375"/>
        <n v="20419565"/>
        <n v="20365390"/>
        <n v="20322243"/>
        <n v="20419674"/>
        <n v="20340902"/>
        <n v="20330564"/>
        <n v="20322235"/>
        <n v="20014824"/>
        <n v="20318393"/>
        <n v="20328375"/>
        <n v="20340545"/>
        <n v="20373481"/>
        <n v="20318258"/>
        <n v="20318239"/>
        <n v="20326973"/>
        <n v="20361153"/>
        <n v="20335633"/>
        <n v="20331667"/>
        <n v="20411029"/>
        <n v="20411028"/>
        <n v="20318098"/>
        <n v="20334283"/>
        <n v="20321814"/>
        <n v="20421966"/>
        <m/>
      </sharedItems>
    </cacheField>
    <cacheField name="包名" numFmtId="0">
      <sharedItems containsBlank="1" count="78">
        <s v="缝合包"/>
        <s v="小烧伤"/>
        <s v="肌钩-2/Z1026"/>
        <s v="剪刀-1/Z1530"/>
        <s v="手科剥离质-1/Z7530"/>
        <s v="手科爪鞍钩-1 /Z7526"/>
        <s v="手科爪钩-2/Z1535"/>
        <s v="咬骨钳-1/Z2032"/>
        <s v="咬丝器-1/Z双2032"/>
        <s v="止血钳-4/Z1530"/>
        <s v="止血钳大-2/Z1535"/>
        <s v="门诊整形包（三）"/>
        <s v="厂家电钻-3/W7060"/>
        <s v="尺-1/W605060"/>
        <s v="方盘-1/W9050"/>
        <s v="骨电钻-2件"/>
        <s v="固指板-1/W7050"/>
        <s v="滚轴(植皮刀)-1件/W6050"/>
        <s v="弯盘1小碗1/W9050"/>
        <s v="咬丝器1持针器1/W6050"/>
        <s v="骨科剥离质-1/Z7534"/>
        <s v="巾钳子-1/Z1026"/>
        <s v="组织钳-1/Z1026"/>
        <s v="持物钳罐-2件/W605060"/>
        <s v="大烧伤"/>
        <s v="手科包"/>
        <s v="弹钩-2/W6050"/>
        <s v="电动取皮机-6件 筐1/W12050"/>
        <s v="4号刀柄-1/z7526"/>
        <s v="持针器-1/Z1026"/>
        <s v="刮勺-1/Z7526"/>
        <s v="剪刀小-1/Z1026"/>
        <s v="小弯止血钳-4/Z1530"/>
        <s v="切开包-10件"/>
        <s v="骨锉-1/W605060"/>
        <s v="尖嘴复位器-1/Z1535"/>
        <s v="克氏钳-1/双z1029"/>
        <s v="电钻-3/W705060"/>
        <s v="门诊整形包（二）"/>
        <s v="新轧皮机1号-2件（盒1）"/>
        <s v="新轧皮机2号-2件（盒1）"/>
        <s v="扎皮机板-2件/z2025"/>
        <s v="地巾"/>
        <s v="咬钉器-1手柄-2/W6050"/>
        <s v="慢创包"/>
        <s v="钩镊-1/Z7526"/>
        <s v="解剖剪刀-1/Z1029"/>
        <s v="门诊整形（一）"/>
        <s v="手科骨锉-1/Z7526"/>
        <s v="植皮刀片-1/Z7520"/>
        <s v="肱骨复位器-2/W5050"/>
        <s v="门诊整形（四）"/>
        <s v="扎皮机板-4件/Z1029"/>
        <s v="手刷盒/w9050"/>
        <s v="门诊整形（五）"/>
        <s v="肛肠包"/>
        <s v="锤子-1/双z1535"/>
        <s v="驱血带"/>
        <s v="骨电钻-3件/W705060"/>
        <s v="中心持骨器-2/w6050"/>
        <s v="气管切开包"/>
        <s v="头皮夹钳-1/Z1530"/>
        <s v="扩肛器-1/W5050"/>
        <s v="咬骨剪-1/Z2032"/>
        <s v="凿子-3/双z1029"/>
        <s v="肛肠探针-1/Z7520"/>
        <s v="小止血钳-2/z1026"/>
        <s v="平镊-1/Z7530"/>
        <s v="爪鞍钩-2 /Z7526"/>
        <s v="新轧皮机1号-4件（盒1）"/>
        <s v="旧轧皮机（2号）-2件盒1/W12050"/>
        <s v="旧轧皮机（1号）-2件盒1/W9050"/>
        <s v="旧轧皮机（2号）-4盒1/W12050"/>
        <s v="整形包"/>
        <s v="麻杯-1/Z1526"/>
        <s v="线锯-1/Z1026"/>
        <s v="3号刀柄-1/z7526"/>
        <m/>
      </sharedItems>
    </cacheField>
    <cacheField name="包数" numFmtId="0">
      <sharedItems containsString="0" containsBlank="1" containsNumber="1" containsInteger="1" minValue="1" maxValue="20" count="20">
        <n v="14"/>
        <n v="1"/>
        <n v="2"/>
        <n v="5"/>
        <n v="7"/>
        <n v="3"/>
        <n v="8"/>
        <n v="4"/>
        <n v="6"/>
        <n v="9"/>
        <n v="18"/>
        <n v="20"/>
        <n v="16"/>
        <n v="10"/>
        <n v="12"/>
        <n v="15"/>
        <n v="13"/>
        <n v="17"/>
        <n v="11"/>
        <m/>
      </sharedItems>
    </cacheField>
    <cacheField name="单价" numFmtId="0">
      <sharedItems containsString="0" containsBlank="1" containsNumber="1" minValue="2.5" maxValue="264" count="23">
        <n v="88"/>
        <n v="165"/>
        <n v="13.5"/>
        <n v="11"/>
        <n v="8"/>
        <n v="16.5"/>
        <n v="13"/>
        <n v="22"/>
        <n v="264"/>
        <n v="154"/>
        <n v="38.5"/>
        <n v="55"/>
        <n v="66"/>
        <n v="15"/>
        <n v="148.5"/>
        <n v="30"/>
        <n v="104.5"/>
        <n v="2.5"/>
        <n v="170.5"/>
        <n v="27.5"/>
        <n v="33"/>
        <n v="176"/>
        <m/>
      </sharedItems>
    </cacheField>
    <cacheField name="总价" numFmtId="0">
      <sharedItems containsString="0" containsBlank="1" containsNumber="1" minValue="5" maxValue="1584" count="68">
        <n v="1232"/>
        <n v="165"/>
        <n v="13.5"/>
        <n v="22"/>
        <n v="8"/>
        <n v="16"/>
        <n v="16.5"/>
        <n v="65"/>
        <n v="44"/>
        <n v="88"/>
        <n v="33"/>
        <n v="82.5"/>
        <n v="616"/>
        <n v="40.5"/>
        <n v="11"/>
        <n v="26"/>
        <n v="132"/>
        <n v="264"/>
        <n v="154"/>
        <n v="49.5"/>
        <n v="352"/>
        <n v="77"/>
        <n v="66"/>
        <n v="99"/>
        <n v="24"/>
        <n v="54"/>
        <n v="792"/>
        <n v="15"/>
        <n v="38.5"/>
        <n v="55"/>
        <n v="27"/>
        <n v="115.5"/>
        <n v="148.5"/>
        <n v="13"/>
        <n v="440"/>
        <n v="1584"/>
        <n v="78"/>
        <n v="160"/>
        <n v="528"/>
        <n v="30"/>
        <n v="1408"/>
        <n v="104.5"/>
        <n v="110"/>
        <n v="39"/>
        <n v="704"/>
        <n v="52"/>
        <n v="198"/>
        <n v="1056"/>
        <n v="1320"/>
        <n v="176"/>
        <n v="170.5"/>
        <n v="308"/>
        <n v="5"/>
        <n v="330"/>
        <n v="12.5"/>
        <n v="1144"/>
        <n v="275"/>
        <n v="1496"/>
        <n v="968"/>
        <n v="7.5"/>
        <n v="880"/>
        <n v="385"/>
        <n v="27.5"/>
        <n v="220"/>
        <n v="80"/>
        <n v="17.5"/>
        <n v="1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99.5393287037" refreshedBy="联想瑞天" recordCount="1793">
  <cacheSource type="worksheet">
    <worksheetSource ref="A1:H1048576" sheet="Sheet4"/>
  </cacheSource>
  <cacheFields count="8">
    <cacheField name="发货日期" numFmtId="0">
      <sharedItems containsString="0" containsBlank="1" containsNonDate="0" containsDate="1" minDate="2026-05-09T00:00:00" maxDate="2026-06-08T00:00:00" count="32"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m/>
      </sharedItems>
    </cacheField>
    <cacheField name="发货单号" numFmtId="0">
      <sharedItems containsString="0" containsBlank="1" containsNumber="1" containsInteger="1" minValue="1601576" maxValue="1610323" count="203">
        <n v="1601576"/>
        <n v="1601577"/>
        <n v="1601579"/>
        <n v="1601599"/>
        <n v="1601627"/>
        <n v="1601666"/>
        <n v="1601667"/>
        <n v="1601673"/>
        <n v="1601699"/>
        <n v="1601712"/>
        <n v="1601732"/>
        <n v="1601861"/>
        <n v="1601870"/>
        <n v="1601908"/>
        <n v="1601914"/>
        <n v="1601991"/>
        <n v="1602014"/>
        <n v="1602075"/>
        <n v="1602077"/>
        <n v="1602081"/>
        <n v="1602091"/>
        <n v="1602288"/>
        <n v="1602294"/>
        <n v="1602350"/>
        <n v="1602368"/>
        <n v="1602373"/>
        <n v="1602420"/>
        <n v="1602434"/>
        <n v="1602482"/>
        <n v="1602643"/>
        <n v="1602648"/>
        <n v="1602711"/>
        <n v="1602733"/>
        <n v="1602741"/>
        <n v="1602751"/>
        <n v="1602757"/>
        <n v="1602798"/>
        <n v="1603006"/>
        <n v="1603011"/>
        <n v="1603017"/>
        <n v="1603114"/>
        <n v="1603155"/>
        <n v="1603167"/>
        <n v="1603194"/>
        <n v="1603207"/>
        <n v="1603406"/>
        <n v="1603409"/>
        <n v="1603456"/>
        <n v="1603473"/>
        <n v="1603502"/>
        <n v="1603509"/>
        <n v="1603514"/>
        <n v="1603568"/>
        <n v="1603773"/>
        <n v="1603855"/>
        <n v="1603908"/>
        <n v="1603947"/>
        <n v="1603963"/>
        <n v="1604011"/>
        <n v="1604017"/>
        <n v="1604036"/>
        <n v="1604048"/>
        <n v="1604088"/>
        <n v="1604108"/>
        <n v="1604318"/>
        <n v="1604357"/>
        <n v="1604406"/>
        <n v="1604409"/>
        <n v="1604464"/>
        <n v="1604466"/>
        <n v="1604469"/>
        <n v="1604472"/>
        <n v="1604476"/>
        <n v="1604677"/>
        <n v="1604680"/>
        <n v="1604713"/>
        <n v="1604725"/>
        <n v="1604755"/>
        <n v="1604774"/>
        <n v="1604784"/>
        <n v="1604845"/>
        <n v="1604881"/>
        <n v="1605060"/>
        <n v="1605062"/>
        <n v="1605069"/>
        <n v="1605123"/>
        <n v="1605154"/>
        <n v="1605158"/>
        <n v="1605162"/>
        <n v="1605167"/>
        <n v="1605176"/>
        <n v="1605218"/>
        <n v="1605236"/>
        <n v="1605242"/>
        <n v="1605256"/>
        <n v="1605259"/>
        <n v="1605451"/>
        <n v="1605452"/>
        <n v="1605481"/>
        <n v="1605530"/>
        <n v="1605549"/>
        <n v="1605552"/>
        <n v="1605571"/>
        <n v="1605610"/>
        <n v="1605819"/>
        <n v="1605824"/>
        <n v="1605835"/>
        <n v="1605929"/>
        <n v="1605990"/>
        <n v="1606026"/>
        <n v="1606073"/>
        <n v="1606097"/>
        <n v="1606106"/>
        <n v="1606111"/>
        <n v="1606169"/>
        <n v="1606373"/>
        <n v="1606418"/>
        <n v="1606430"/>
        <n v="1606473"/>
        <n v="1606480"/>
        <n v="1606508"/>
        <n v="1606545"/>
        <n v="1606554"/>
        <n v="1606566"/>
        <n v="1606765"/>
        <n v="1606782"/>
        <n v="1606842"/>
        <n v="1606858"/>
        <n v="1606880"/>
        <n v="1606919"/>
        <n v="1607104"/>
        <n v="1607105"/>
        <n v="1607162"/>
        <n v="1607188"/>
        <n v="1607244"/>
        <n v="1607288"/>
        <n v="1607293"/>
        <n v="1607499"/>
        <n v="1607569"/>
        <n v="1607597"/>
        <n v="1607644"/>
        <n v="1607654"/>
        <n v="1607874"/>
        <n v="1607961"/>
        <n v="1608011"/>
        <n v="1608089"/>
        <n v="1608101"/>
        <n v="1608106"/>
        <n v="1608111"/>
        <n v="1608144"/>
        <n v="1608147"/>
        <n v="1608151"/>
        <n v="1608407"/>
        <n v="1608411"/>
        <n v="1608443"/>
        <n v="1608506"/>
        <n v="1608526"/>
        <n v="1608533"/>
        <n v="1608541"/>
        <n v="1608560"/>
        <n v="1608582"/>
        <n v="1608755"/>
        <n v="1608796"/>
        <n v="1608801"/>
        <n v="1608879"/>
        <n v="1608893"/>
        <n v="1608898"/>
        <n v="1608914"/>
        <n v="1608937"/>
        <n v="1609157"/>
        <n v="1609183"/>
        <n v="1609215"/>
        <n v="1609244"/>
        <n v="1609264"/>
        <n v="1609267"/>
        <n v="1609293"/>
        <n v="1609297"/>
        <n v="1609303"/>
        <n v="1609561"/>
        <n v="1609563"/>
        <n v="1609595"/>
        <n v="1609644"/>
        <n v="1609657"/>
        <n v="1609672"/>
        <n v="1609705"/>
        <n v="1609726"/>
        <n v="1609740"/>
        <n v="1609935"/>
        <n v="1609939"/>
        <n v="1609941"/>
        <n v="1609985"/>
        <n v="1610037"/>
        <n v="1610095"/>
        <n v="1610127"/>
        <n v="1610159"/>
        <n v="1610163"/>
        <n v="1610202"/>
        <n v="1610212"/>
        <n v="1610227"/>
        <n v="1610241"/>
        <n v="1610246"/>
        <n v="1610323"/>
        <m/>
      </sharedItems>
    </cacheField>
    <cacheField name="类型" numFmtId="0">
      <sharedItems containsBlank="1" count="13">
        <s v="器械包"/>
        <s v="额外包(纸塑袋)"/>
        <s v="敷料包(无纺布包)"/>
        <s v="额外包(无纺布)"/>
        <s v="器械包(ZSD)"/>
        <s v="单包装包"/>
        <s v="额外包(低温等离子)"/>
        <s v="单包装包(老肯低温)"/>
        <s v="敷料包"/>
        <s v="敷料包(纸塑袋)"/>
        <s v="器械包(低温等离子)"/>
        <s v="器械包(ETO)"/>
        <m/>
      </sharedItems>
    </cacheField>
    <cacheField name="包类别号" numFmtId="0">
      <sharedItems containsString="0" containsBlank="1" containsNumber="1" containsInteger="1" minValue="20014824" maxValue="20428540" count="170">
        <n v="20321476"/>
        <n v="20321252"/>
        <n v="20322048"/>
        <n v="20380117"/>
        <n v="20312966"/>
        <n v="20327194"/>
        <n v="20312965"/>
        <n v="20312967"/>
        <n v="20318363"/>
        <n v="20420885"/>
        <n v="20322304"/>
        <n v="20321257"/>
        <n v="20318334"/>
        <n v="20318340"/>
        <n v="20321250"/>
        <n v="20318389"/>
        <n v="20411174"/>
        <n v="20340288"/>
        <n v="20322243"/>
        <n v="20330757"/>
        <n v="20323697"/>
        <n v="20312968"/>
        <n v="20408959"/>
        <n v="20424696"/>
        <n v="20322235"/>
        <n v="20318361"/>
        <n v="20369096"/>
        <n v="20318378"/>
        <n v="20318380"/>
        <n v="20374808"/>
        <n v="20340289"/>
        <n v="20383164"/>
        <n v="20414408"/>
        <n v="20318379"/>
        <n v="20318336"/>
        <n v="20366063"/>
        <n v="20318158"/>
        <n v="20321251"/>
        <n v="20410990"/>
        <n v="20424417"/>
        <n v="20322234"/>
        <n v="20366065"/>
        <n v="20321719"/>
        <n v="20327195"/>
        <n v="20326338"/>
        <n v="20312995"/>
        <n v="20401437"/>
        <n v="20401425"/>
        <n v="20359748"/>
        <n v="20318376"/>
        <n v="20365495"/>
        <n v="20334934"/>
        <n v="20321502"/>
        <n v="20318342"/>
        <n v="20348155"/>
        <n v="20402355"/>
        <n v="20354360"/>
        <n v="20337609"/>
        <n v="20318395"/>
        <n v="20366064"/>
        <n v="20363041"/>
        <n v="20014824"/>
        <n v="20407575"/>
        <n v="20410156"/>
        <n v="20318359"/>
        <n v="20424977"/>
        <n v="20410296"/>
        <n v="20366059"/>
        <n v="20408950"/>
        <n v="20318383"/>
        <n v="20425035"/>
        <n v="20410957"/>
        <n v="20374479"/>
        <n v="20318375"/>
        <n v="20338452"/>
        <n v="20322118"/>
        <n v="20356051"/>
        <n v="20318393"/>
        <n v="20313009"/>
        <n v="20374480"/>
        <n v="20312982"/>
        <n v="20318372"/>
        <n v="20414050"/>
        <n v="20340286"/>
        <n v="20312999"/>
        <n v="20416991"/>
        <n v="20318353"/>
        <n v="20331447"/>
        <n v="20335601"/>
        <n v="20343399"/>
        <n v="20318368"/>
        <n v="20366734"/>
        <n v="20395243"/>
        <n v="20321090"/>
        <n v="20366610"/>
        <n v="20321918"/>
        <n v="20411008"/>
        <n v="20318385"/>
        <n v="20321604"/>
        <n v="20332467"/>
        <n v="20407037"/>
        <n v="20392364"/>
        <n v="20414953"/>
        <n v="20318377"/>
        <n v="20387214"/>
        <n v="20331736"/>
        <n v="20329951"/>
        <n v="20389291"/>
        <n v="20327985"/>
        <n v="20318386"/>
        <n v="20402902"/>
        <n v="20340313"/>
        <n v="20318365"/>
        <n v="20318360"/>
        <n v="20323503"/>
        <n v="20318344"/>
        <n v="20318404"/>
        <n v="20426378"/>
        <n v="20426377"/>
        <n v="20391359"/>
        <n v="20391176"/>
        <n v="20318362"/>
        <n v="20398516"/>
        <n v="20318241"/>
        <n v="20321686"/>
        <n v="20427031"/>
        <n v="20313003"/>
        <n v="20318347"/>
        <n v="20318397"/>
        <n v="20365759"/>
        <n v="20382903"/>
        <n v="20427411"/>
        <n v="20353558"/>
        <n v="20427499"/>
        <n v="20321108"/>
        <n v="20374027"/>
        <n v="20322228"/>
        <n v="20321778"/>
        <n v="20312984"/>
        <n v="20321665"/>
        <n v="20312986"/>
        <n v="20382284"/>
        <n v="20318350"/>
        <n v="20327255"/>
        <n v="20414890"/>
        <n v="20410992"/>
        <n v="20327254"/>
        <n v="20414937"/>
        <n v="20362164"/>
        <n v="20371830"/>
        <n v="20398633"/>
        <n v="20400908"/>
        <n v="20318367"/>
        <n v="20428055"/>
        <n v="20428056"/>
        <n v="20318250"/>
        <n v="20322353"/>
        <n v="20327256"/>
        <n v="20372528"/>
        <n v="20373876"/>
        <n v="20428527"/>
        <n v="20428523"/>
        <n v="20428525"/>
        <n v="20428540"/>
        <n v="20365760"/>
        <n v="20366039"/>
        <n v="20394424"/>
        <n v="20329844"/>
        <n v="20322155"/>
        <m/>
      </sharedItems>
    </cacheField>
    <cacheField name="包名" numFmtId="0">
      <sharedItems containsBlank="1" count="173">
        <s v="263机器人-9件（高温）"/>
        <s v="264机器人-8件（高温）"/>
        <s v="断钉取出器械-30件（张伟）"/>
        <s v="脊柱常备器械"/>
        <s v="上肢包"/>
        <s v="史赛克摆锯骨动力-4（带盒5件）"/>
        <s v="手科包"/>
        <s v="下肢包"/>
        <s v="解剖剪刀-1/Z1029"/>
        <s v="拇外翻工具-2/双Z1020"/>
        <s v="刷手服"/>
        <s v="持物钳罐-2件/W605060"/>
        <s v="大盆-1/w1205060"/>
        <s v="克氏钳-1/W405060"/>
        <s v="上肢加件-3/W605060"/>
        <s v="咬骨剪子1刮勺1/W605060"/>
        <s v="AR水管-2件/双/Z1530"/>
        <s v="蚊式2 中弯2/Z1530"/>
        <s v="手刷盒/w9050"/>
        <s v="洗手巾/W12050"/>
        <s v="下肢止血带"/>
        <s v="外科包"/>
        <s v="新膝镜（二）-10件/W9050"/>
        <s v="锯片-5件/Z1026"/>
        <s v="驱血带"/>
        <s v="锤子1凿子1剥离质1/W605060"/>
        <s v="肌钩-2/W5050"/>
        <s v="尖嘴复位器-2/W605060"/>
        <s v="剪切钳-1/W505060"/>
        <s v="取针钳-1/W505060"/>
        <s v="手科咬骨钳1 刮勺1/W505060"/>
        <s v="手科爪鞍钩-4件/W505060"/>
        <s v="西山摆锯-3件/W6050"/>
        <s v="咬钉器-1手柄-2/W6050"/>
        <s v="咬骨钳1刮勺1/W605060"/>
        <s v="德美膝器械11件盒1（二）"/>
        <s v="米氏钳-2/W605060"/>
        <s v="椎间孔镜（三）"/>
        <s v="德美新3水管 -2件/Z2530"/>
        <s v="椎体成型包-12件"/>
        <s v="手套"/>
        <s v="德美膝器械12件盒1（四）"/>
        <s v="40001机器人-8件（高温）"/>
        <s v="史赛克多功能锯钻-7（带盒8件）"/>
        <s v="史赛克磨钻骨动力-9件 筐1/W1205060"/>
        <s v="镜骨九（2）"/>
        <s v="博进磨头-1件/Z7520"/>
        <s v="宫腔镜架内外鞘环-6件/Z2060"/>
        <s v="外科内镜0度-1/W9050"/>
        <s v="施牙钳-2/W4050"/>
        <s v="脑外专用包"/>
        <s v="施乐辉肩镜器械"/>
        <s v="盘1碗2/w9050"/>
        <s v="咬丝器-1/W6050"/>
        <s v="腕镜头30度-1 "/>
        <s v="小布袋/w6050"/>
        <s v="穿刺针（带芯）-2/Z7520"/>
        <s v="史赛克锯片-1/Z1020"/>
        <s v="中直钳-2/Z1530"/>
        <s v="德美膝器械12件盒1（三）"/>
        <s v="弹钩-2/W605060"/>
        <s v="骨电钻-3件/W705060"/>
        <s v="西山骨动力（2）/W505060"/>
        <s v="德美刨刀3号-1/双Z2550"/>
        <s v="骨把持器1钢板折弯器2/W605060"/>
        <s v="穿刺针-1（带芯）/7526"/>
        <s v="德美2号刨刀-1/双/Z2550"/>
        <s v="德美膝器械11件盒1（一）"/>
        <s v="新膝镜（一）-10件/W9050"/>
        <s v="深钩-2/W605060"/>
        <s v="半月板缝合器械-4/Z1020"/>
        <s v="德美新1水管-2/双/Z1526"/>
        <s v="机器人套筒1.6-1/Z7530"/>
        <s v="肱骨复位器-2/W5050"/>
        <s v="胫骨平台顶棒器-3/W405060"/>
        <s v="鹰嘴咬骨钳1刮勺1/W605060"/>
        <s v="抓线钳-1/W4550"/>
        <s v="中心持骨器-2/w6050"/>
        <s v="气管切开"/>
        <s v="机器人套筒3.3-1/Z7530"/>
        <s v="产科手术器械包"/>
        <s v="刘断钉取（蓝)-51件（盒1）"/>
        <s v="胸腔镜-17件（筐1）"/>
        <s v="闭合包"/>
        <s v="脊柱常备器械髓核少1"/>
        <s v="骨十一赵德来常备万能取 -64件/W1205060"/>
        <s v="镜骨九（1）"/>
        <s v="刘绍辉断钉取-带盒48件"/>
        <s v="骶棘拉钩-2/W605060"/>
        <s v="脊柱加件-6件/W605060"/>
        <s v="阴道拉钩-6/W7050"/>
        <s v="骨二李琛万能取-49件"/>
        <s v="骨二高川勃（伊）万能取-64/W9060"/>
        <s v="张伟镜头-1/W6050"/>
        <s v="史赛克锯钻骨动力-7（带盒8件）"/>
        <s v="德美刨刀（高温）-1/Z2044"/>
        <s v="超声骨动力系统"/>
        <s v="德美新2水管-2件/Z1530"/>
        <s v="叉勾-7/W605060"/>
        <s v="胫腓骨拉勾-2/W605060"/>
        <s v="史赛克3.2克氏针钻-带盒4件"/>
        <s v="西山骨动力1号-1/双/Z2530"/>
        <s v="新腰备"/>
        <s v="骨动力-8 盒1/w1205060"/>
        <s v="尺桡复位器-2/W405060"/>
        <s v="取针咬骨钳-1件/W505060"/>
        <s v="洗毛盒"/>
        <s v="踝关节光源线-1/Z2545"/>
        <s v="脑外西山磨钻-3件/W705060"/>
        <s v="腕关节镜水管-2/Z1026"/>
        <s v="吸引器头1芯1/Z7530"/>
        <s v="德美肩钩-5件/W505060"/>
        <s v="旧水管-3件/W605060"/>
        <s v="胸质钳-1/W505060"/>
        <s v="半月板钩-6/W605060"/>
        <s v="上肢止血带"/>
        <s v="滚轴-1/W6050"/>
        <s v="聂断钉取（红）-55件，盒1"/>
        <s v="新机器人（一）-2件（高温）"/>
        <s v="新机器人（一）-21件（高温）"/>
        <s v="妇产科布袋/ W6050"/>
        <s v="德美4K1号刨刀-1/W6050"/>
        <s v="凿子-3/W605060"/>
        <s v="锤子 -1件/双/Z1030"/>
        <s v="骨锉-1/W605060"/>
        <s v="脊柱机器人262"/>
        <s v="试用肩镜-2件/双/Z2030"/>
        <s v="开颅包"/>
        <s v="甲状腺拉钩-2/W505060"/>
        <s v="机器人套筒-2/W405060"/>
        <s v="甲状腺加件-4件/w505060"/>
        <s v="软骨转移器械-13件/W605060"/>
        <s v="创伤1号机器人-8件（带盒9件）"/>
        <s v="机器人套筒125-190-1件/Z7534"/>
        <s v="妇产科直角钳-6件/W605060"/>
        <s v="261机器人-6件（带盒7件）"/>
        <s v="机器人器械-4件/w5050"/>
        <s v="地巾"/>
        <s v="棉球/Z1530"/>
        <s v="胃肠加件"/>
        <s v="腰间盘镜(三)"/>
        <s v="子宫包"/>
        <s v="脑科无钩尖镊-2/ W505060"/>
        <s v="自动拉钩1爪2/W7050"/>
        <s v="博进骨动力-9件（盒1）/W1205060"/>
        <s v="骨动力-8件（盒1）/W1205060"/>
        <s v="骨动力-带盒9件"/>
        <s v="博进骨动力-8件（盒1）/W1205060"/>
        <s v="骨动力-9件（盒1）/W1205060"/>
        <s v="电极线-1/Z1540"/>
        <s v="动力转换器-1/Z1526"/>
        <s v="骨六房玉利肩钩常备器械"/>
        <s v="骨盆骨折包"/>
        <s v="子宫托钳-2/W6050"/>
        <s v="0103机器人（高温）-22件盒1"/>
        <s v="0138机器人（高温）-22件盒1"/>
        <s v="手科剥离质-1/Z7530"/>
        <s v="胸骨磨钻-带盒13件"/>
        <s v="史赛克微型钻-5 盒1/W1205060"/>
        <s v="2.5钻头3件（继元）/Z7530"/>
        <s v="鞍钩-2/W605060"/>
        <s v="创伤2号机器人-4件（盒1）"/>
        <s v="创伤1号机器人-7件"/>
        <s v="创伤2号机器人-7件（盒1）"/>
        <s v="创伤1号机器人-4件（盒1）"/>
        <s v="髋臼凿子-2/W505060"/>
        <s v="DMD光源4号-1/W905060"/>
        <s v="胸腔镜加件-13件"/>
        <s v="尺-1/W605060"/>
        <s v="睿米机器人（一）-21件（高温）"/>
        <s v="睿米机器人（一）-3件（高温）"/>
        <s v="往复锯（二）-带盒6件"/>
        <m/>
      </sharedItems>
    </cacheField>
    <cacheField name="包数" numFmtId="0">
      <sharedItems containsString="0" containsBlank="1" containsNumber="1" containsInteger="1" minValue="1" maxValue="29" count="21">
        <n v="1"/>
        <n v="2"/>
        <n v="5"/>
        <n v="7"/>
        <n v="10"/>
        <n v="3"/>
        <n v="6"/>
        <n v="4"/>
        <n v="9"/>
        <n v="8"/>
        <n v="12"/>
        <n v="11"/>
        <n v="13"/>
        <n v="15"/>
        <n v="18"/>
        <n v="25"/>
        <n v="29"/>
        <n v="16"/>
        <n v="19"/>
        <n v="14"/>
        <m/>
      </sharedItems>
    </cacheField>
    <cacheField name="单价" numFmtId="0">
      <sharedItems containsString="0" containsBlank="1" containsNumber="1" minValue="2.5" maxValue="555.5" count="43">
        <n v="55"/>
        <n v="49.5"/>
        <n v="170.5"/>
        <n v="159.5"/>
        <n v="27.5"/>
        <n v="137.5"/>
        <n v="176"/>
        <n v="8"/>
        <n v="16.5"/>
        <n v="25"/>
        <n v="22"/>
        <n v="30"/>
        <n v="35"/>
        <n v="4"/>
        <n v="187"/>
        <n v="60.5"/>
        <n v="2.5"/>
        <n v="66"/>
        <n v="71.5"/>
        <n v="44"/>
        <n v="82.5"/>
        <n v="110"/>
        <n v="154"/>
        <n v="121"/>
        <n v="13.5"/>
        <n v="242"/>
        <n v="214.5"/>
        <n v="286"/>
        <n v="99"/>
        <n v="357.5"/>
        <n v="264"/>
        <n v="33"/>
        <n v="275"/>
        <n v="38.5"/>
        <n v="308"/>
        <n v="418"/>
        <n v="77"/>
        <n v="15"/>
        <n v="555.5"/>
        <n v="132"/>
        <n v="126.5"/>
        <n v="88"/>
        <m/>
      </sharedItems>
    </cacheField>
    <cacheField name="总价" numFmtId="0">
      <sharedItems containsString="0" containsBlank="1" containsNumber="1" minValue="2.5" maxValue="1760" count="102">
        <n v="55"/>
        <n v="49.5"/>
        <n v="170.5"/>
        <n v="319"/>
        <n v="27.5"/>
        <n v="275"/>
        <n v="880"/>
        <n v="8"/>
        <n v="16.5"/>
        <n v="175"/>
        <n v="165"/>
        <n v="22"/>
        <n v="30"/>
        <n v="210"/>
        <n v="4"/>
        <n v="797.5"/>
        <n v="137.5"/>
        <n v="187"/>
        <n v="528"/>
        <n v="60.5"/>
        <n v="15"/>
        <n v="33"/>
        <n v="159.5"/>
        <n v="352"/>
        <n v="66"/>
        <n v="70"/>
        <n v="10"/>
        <n v="71.5"/>
        <n v="44"/>
        <n v="82.5"/>
        <n v="1116.5"/>
        <n v="825"/>
        <n v="1584"/>
        <n v="110"/>
        <n v="35"/>
        <n v="154"/>
        <n v="121"/>
        <n v="550"/>
        <n v="704"/>
        <n v="638"/>
        <n v="132"/>
        <n v="25"/>
        <n v="90"/>
        <n v="12.5"/>
        <n v="13.5"/>
        <n v="176"/>
        <n v="478.5"/>
        <n v="412.5"/>
        <n v="105"/>
        <n v="957"/>
        <n v="1056"/>
        <n v="242"/>
        <n v="687.5"/>
        <n v="27"/>
        <n v="150"/>
        <n v="115.5"/>
        <n v="214.5"/>
        <n v="286"/>
        <n v="99"/>
        <n v="5"/>
        <n v="140"/>
        <n v="60"/>
        <n v="1408"/>
        <n v="22.5"/>
        <n v="357.5"/>
        <n v="264"/>
        <n v="125"/>
        <n v="50"/>
        <n v="148.5"/>
        <n v="1232"/>
        <n v="16"/>
        <n v="38.5"/>
        <n v="198"/>
        <n v="1595"/>
        <n v="17.5"/>
        <n v="75"/>
        <n v="37.5"/>
        <n v="45"/>
        <n v="308"/>
        <n v="62.5"/>
        <n v="72.5"/>
        <n v="1435.5"/>
        <n v="1760"/>
        <n v="200"/>
        <n v="2.5"/>
        <n v="40"/>
        <n v="962.5"/>
        <n v="418"/>
        <n v="32.5"/>
        <n v="77"/>
        <n v="47.5"/>
        <n v="20"/>
        <n v="555.5"/>
        <n v="1276"/>
        <n v="100"/>
        <n v="126.5"/>
        <n v="88"/>
        <n v="280"/>
        <n v="245"/>
        <n v="181.5"/>
        <n v="7.5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56">
  <r>
    <x v="0"/>
    <x v="0"/>
    <x v="0"/>
    <x v="0"/>
    <x v="0"/>
    <x v="0"/>
    <x v="0"/>
    <x v="0"/>
  </r>
  <r>
    <x v="0"/>
    <x v="0"/>
    <x v="0"/>
    <x v="1"/>
    <x v="1"/>
    <x v="1"/>
    <x v="1"/>
    <x v="1"/>
  </r>
  <r>
    <x v="0"/>
    <x v="0"/>
    <x v="1"/>
    <x v="2"/>
    <x v="2"/>
    <x v="1"/>
    <x v="2"/>
    <x v="2"/>
  </r>
  <r>
    <x v="0"/>
    <x v="0"/>
    <x v="1"/>
    <x v="3"/>
    <x v="3"/>
    <x v="2"/>
    <x v="3"/>
    <x v="3"/>
  </r>
  <r>
    <x v="0"/>
    <x v="0"/>
    <x v="1"/>
    <x v="4"/>
    <x v="4"/>
    <x v="1"/>
    <x v="4"/>
    <x v="4"/>
  </r>
  <r>
    <x v="0"/>
    <x v="0"/>
    <x v="1"/>
    <x v="5"/>
    <x v="5"/>
    <x v="2"/>
    <x v="4"/>
    <x v="5"/>
  </r>
  <r>
    <x v="0"/>
    <x v="0"/>
    <x v="1"/>
    <x v="6"/>
    <x v="6"/>
    <x v="1"/>
    <x v="5"/>
    <x v="6"/>
  </r>
  <r>
    <x v="0"/>
    <x v="0"/>
    <x v="1"/>
    <x v="7"/>
    <x v="7"/>
    <x v="3"/>
    <x v="6"/>
    <x v="7"/>
  </r>
  <r>
    <x v="0"/>
    <x v="0"/>
    <x v="1"/>
    <x v="8"/>
    <x v="8"/>
    <x v="1"/>
    <x v="5"/>
    <x v="6"/>
  </r>
  <r>
    <x v="0"/>
    <x v="0"/>
    <x v="1"/>
    <x v="9"/>
    <x v="9"/>
    <x v="2"/>
    <x v="7"/>
    <x v="8"/>
  </r>
  <r>
    <x v="0"/>
    <x v="0"/>
    <x v="1"/>
    <x v="10"/>
    <x v="10"/>
    <x v="1"/>
    <x v="5"/>
    <x v="6"/>
  </r>
  <r>
    <x v="0"/>
    <x v="0"/>
    <x v="2"/>
    <x v="11"/>
    <x v="11"/>
    <x v="1"/>
    <x v="0"/>
    <x v="9"/>
  </r>
  <r>
    <x v="0"/>
    <x v="0"/>
    <x v="3"/>
    <x v="12"/>
    <x v="12"/>
    <x v="1"/>
    <x v="5"/>
    <x v="6"/>
  </r>
  <r>
    <x v="0"/>
    <x v="0"/>
    <x v="3"/>
    <x v="13"/>
    <x v="13"/>
    <x v="1"/>
    <x v="5"/>
    <x v="6"/>
  </r>
  <r>
    <x v="0"/>
    <x v="0"/>
    <x v="3"/>
    <x v="14"/>
    <x v="14"/>
    <x v="2"/>
    <x v="5"/>
    <x v="10"/>
  </r>
  <r>
    <x v="0"/>
    <x v="0"/>
    <x v="3"/>
    <x v="15"/>
    <x v="15"/>
    <x v="1"/>
    <x v="5"/>
    <x v="6"/>
  </r>
  <r>
    <x v="0"/>
    <x v="0"/>
    <x v="3"/>
    <x v="16"/>
    <x v="16"/>
    <x v="1"/>
    <x v="5"/>
    <x v="6"/>
  </r>
  <r>
    <x v="0"/>
    <x v="0"/>
    <x v="3"/>
    <x v="17"/>
    <x v="17"/>
    <x v="1"/>
    <x v="5"/>
    <x v="6"/>
  </r>
  <r>
    <x v="0"/>
    <x v="0"/>
    <x v="3"/>
    <x v="18"/>
    <x v="18"/>
    <x v="3"/>
    <x v="5"/>
    <x v="11"/>
  </r>
  <r>
    <x v="0"/>
    <x v="0"/>
    <x v="3"/>
    <x v="19"/>
    <x v="19"/>
    <x v="2"/>
    <x v="5"/>
    <x v="10"/>
  </r>
  <r>
    <x v="0"/>
    <x v="1"/>
    <x v="0"/>
    <x v="0"/>
    <x v="0"/>
    <x v="4"/>
    <x v="0"/>
    <x v="12"/>
  </r>
  <r>
    <x v="0"/>
    <x v="1"/>
    <x v="1"/>
    <x v="20"/>
    <x v="20"/>
    <x v="1"/>
    <x v="4"/>
    <x v="4"/>
  </r>
  <r>
    <x v="0"/>
    <x v="1"/>
    <x v="1"/>
    <x v="2"/>
    <x v="2"/>
    <x v="5"/>
    <x v="2"/>
    <x v="13"/>
  </r>
  <r>
    <x v="0"/>
    <x v="1"/>
    <x v="1"/>
    <x v="3"/>
    <x v="3"/>
    <x v="1"/>
    <x v="3"/>
    <x v="14"/>
  </r>
  <r>
    <x v="0"/>
    <x v="1"/>
    <x v="1"/>
    <x v="21"/>
    <x v="21"/>
    <x v="1"/>
    <x v="4"/>
    <x v="4"/>
  </r>
  <r>
    <x v="0"/>
    <x v="1"/>
    <x v="1"/>
    <x v="7"/>
    <x v="7"/>
    <x v="2"/>
    <x v="6"/>
    <x v="15"/>
  </r>
  <r>
    <x v="0"/>
    <x v="1"/>
    <x v="1"/>
    <x v="9"/>
    <x v="9"/>
    <x v="2"/>
    <x v="7"/>
    <x v="8"/>
  </r>
  <r>
    <x v="0"/>
    <x v="1"/>
    <x v="1"/>
    <x v="10"/>
    <x v="10"/>
    <x v="1"/>
    <x v="5"/>
    <x v="6"/>
  </r>
  <r>
    <x v="0"/>
    <x v="1"/>
    <x v="1"/>
    <x v="22"/>
    <x v="22"/>
    <x v="1"/>
    <x v="4"/>
    <x v="4"/>
  </r>
  <r>
    <x v="0"/>
    <x v="1"/>
    <x v="3"/>
    <x v="23"/>
    <x v="23"/>
    <x v="6"/>
    <x v="5"/>
    <x v="16"/>
  </r>
  <r>
    <x v="0"/>
    <x v="1"/>
    <x v="3"/>
    <x v="14"/>
    <x v="14"/>
    <x v="1"/>
    <x v="5"/>
    <x v="6"/>
  </r>
  <r>
    <x v="0"/>
    <x v="2"/>
    <x v="0"/>
    <x v="24"/>
    <x v="24"/>
    <x v="1"/>
    <x v="8"/>
    <x v="17"/>
  </r>
  <r>
    <x v="0"/>
    <x v="2"/>
    <x v="0"/>
    <x v="0"/>
    <x v="0"/>
    <x v="5"/>
    <x v="0"/>
    <x v="17"/>
  </r>
  <r>
    <x v="0"/>
    <x v="2"/>
    <x v="0"/>
    <x v="25"/>
    <x v="25"/>
    <x v="1"/>
    <x v="9"/>
    <x v="18"/>
  </r>
  <r>
    <x v="0"/>
    <x v="2"/>
    <x v="1"/>
    <x v="8"/>
    <x v="8"/>
    <x v="1"/>
    <x v="5"/>
    <x v="6"/>
  </r>
  <r>
    <x v="0"/>
    <x v="2"/>
    <x v="3"/>
    <x v="23"/>
    <x v="23"/>
    <x v="1"/>
    <x v="5"/>
    <x v="6"/>
  </r>
  <r>
    <x v="0"/>
    <x v="2"/>
    <x v="3"/>
    <x v="26"/>
    <x v="26"/>
    <x v="1"/>
    <x v="5"/>
    <x v="6"/>
  </r>
  <r>
    <x v="0"/>
    <x v="2"/>
    <x v="3"/>
    <x v="14"/>
    <x v="14"/>
    <x v="3"/>
    <x v="5"/>
    <x v="11"/>
  </r>
  <r>
    <x v="0"/>
    <x v="2"/>
    <x v="3"/>
    <x v="17"/>
    <x v="17"/>
    <x v="5"/>
    <x v="5"/>
    <x v="19"/>
  </r>
  <r>
    <x v="0"/>
    <x v="2"/>
    <x v="3"/>
    <x v="18"/>
    <x v="18"/>
    <x v="1"/>
    <x v="5"/>
    <x v="6"/>
  </r>
  <r>
    <x v="1"/>
    <x v="3"/>
    <x v="0"/>
    <x v="0"/>
    <x v="0"/>
    <x v="4"/>
    <x v="0"/>
    <x v="12"/>
  </r>
  <r>
    <x v="1"/>
    <x v="3"/>
    <x v="0"/>
    <x v="25"/>
    <x v="25"/>
    <x v="1"/>
    <x v="9"/>
    <x v="18"/>
  </r>
  <r>
    <x v="1"/>
    <x v="3"/>
    <x v="0"/>
    <x v="1"/>
    <x v="1"/>
    <x v="1"/>
    <x v="1"/>
    <x v="1"/>
  </r>
  <r>
    <x v="1"/>
    <x v="4"/>
    <x v="0"/>
    <x v="0"/>
    <x v="0"/>
    <x v="7"/>
    <x v="0"/>
    <x v="20"/>
  </r>
  <r>
    <x v="1"/>
    <x v="4"/>
    <x v="4"/>
    <x v="27"/>
    <x v="27"/>
    <x v="2"/>
    <x v="10"/>
    <x v="21"/>
  </r>
  <r>
    <x v="1"/>
    <x v="4"/>
    <x v="1"/>
    <x v="28"/>
    <x v="28"/>
    <x v="1"/>
    <x v="4"/>
    <x v="4"/>
  </r>
  <r>
    <x v="1"/>
    <x v="4"/>
    <x v="1"/>
    <x v="29"/>
    <x v="29"/>
    <x v="1"/>
    <x v="4"/>
    <x v="4"/>
  </r>
  <r>
    <x v="1"/>
    <x v="4"/>
    <x v="1"/>
    <x v="30"/>
    <x v="30"/>
    <x v="1"/>
    <x v="4"/>
    <x v="4"/>
  </r>
  <r>
    <x v="1"/>
    <x v="4"/>
    <x v="1"/>
    <x v="2"/>
    <x v="2"/>
    <x v="1"/>
    <x v="2"/>
    <x v="2"/>
  </r>
  <r>
    <x v="1"/>
    <x v="4"/>
    <x v="1"/>
    <x v="31"/>
    <x v="31"/>
    <x v="1"/>
    <x v="4"/>
    <x v="4"/>
  </r>
  <r>
    <x v="1"/>
    <x v="4"/>
    <x v="1"/>
    <x v="5"/>
    <x v="5"/>
    <x v="2"/>
    <x v="4"/>
    <x v="5"/>
  </r>
  <r>
    <x v="1"/>
    <x v="4"/>
    <x v="1"/>
    <x v="32"/>
    <x v="32"/>
    <x v="1"/>
    <x v="7"/>
    <x v="3"/>
  </r>
  <r>
    <x v="1"/>
    <x v="4"/>
    <x v="1"/>
    <x v="7"/>
    <x v="7"/>
    <x v="2"/>
    <x v="6"/>
    <x v="15"/>
  </r>
  <r>
    <x v="1"/>
    <x v="4"/>
    <x v="1"/>
    <x v="8"/>
    <x v="8"/>
    <x v="1"/>
    <x v="5"/>
    <x v="6"/>
  </r>
  <r>
    <x v="1"/>
    <x v="4"/>
    <x v="1"/>
    <x v="10"/>
    <x v="10"/>
    <x v="1"/>
    <x v="5"/>
    <x v="6"/>
  </r>
  <r>
    <x v="1"/>
    <x v="4"/>
    <x v="2"/>
    <x v="11"/>
    <x v="11"/>
    <x v="1"/>
    <x v="0"/>
    <x v="9"/>
  </r>
  <r>
    <x v="1"/>
    <x v="4"/>
    <x v="2"/>
    <x v="33"/>
    <x v="33"/>
    <x v="5"/>
    <x v="11"/>
    <x v="1"/>
  </r>
  <r>
    <x v="1"/>
    <x v="4"/>
    <x v="3"/>
    <x v="23"/>
    <x v="23"/>
    <x v="7"/>
    <x v="5"/>
    <x v="22"/>
  </r>
  <r>
    <x v="1"/>
    <x v="4"/>
    <x v="3"/>
    <x v="14"/>
    <x v="14"/>
    <x v="2"/>
    <x v="5"/>
    <x v="10"/>
  </r>
  <r>
    <x v="1"/>
    <x v="4"/>
    <x v="3"/>
    <x v="34"/>
    <x v="34"/>
    <x v="1"/>
    <x v="5"/>
    <x v="6"/>
  </r>
  <r>
    <x v="1"/>
    <x v="4"/>
    <x v="3"/>
    <x v="15"/>
    <x v="15"/>
    <x v="2"/>
    <x v="5"/>
    <x v="10"/>
  </r>
  <r>
    <x v="1"/>
    <x v="4"/>
    <x v="3"/>
    <x v="17"/>
    <x v="17"/>
    <x v="1"/>
    <x v="5"/>
    <x v="6"/>
  </r>
  <r>
    <x v="1"/>
    <x v="4"/>
    <x v="3"/>
    <x v="18"/>
    <x v="18"/>
    <x v="8"/>
    <x v="5"/>
    <x v="23"/>
  </r>
  <r>
    <x v="1"/>
    <x v="4"/>
    <x v="3"/>
    <x v="19"/>
    <x v="19"/>
    <x v="1"/>
    <x v="5"/>
    <x v="6"/>
  </r>
  <r>
    <x v="2"/>
    <x v="5"/>
    <x v="0"/>
    <x v="0"/>
    <x v="0"/>
    <x v="0"/>
    <x v="0"/>
    <x v="0"/>
  </r>
  <r>
    <x v="2"/>
    <x v="5"/>
    <x v="1"/>
    <x v="20"/>
    <x v="20"/>
    <x v="2"/>
    <x v="4"/>
    <x v="5"/>
  </r>
  <r>
    <x v="2"/>
    <x v="5"/>
    <x v="1"/>
    <x v="30"/>
    <x v="30"/>
    <x v="5"/>
    <x v="4"/>
    <x v="24"/>
  </r>
  <r>
    <x v="2"/>
    <x v="5"/>
    <x v="1"/>
    <x v="2"/>
    <x v="2"/>
    <x v="7"/>
    <x v="2"/>
    <x v="25"/>
  </r>
  <r>
    <x v="2"/>
    <x v="5"/>
    <x v="1"/>
    <x v="35"/>
    <x v="35"/>
    <x v="5"/>
    <x v="3"/>
    <x v="10"/>
  </r>
  <r>
    <x v="2"/>
    <x v="5"/>
    <x v="1"/>
    <x v="3"/>
    <x v="3"/>
    <x v="1"/>
    <x v="3"/>
    <x v="14"/>
  </r>
  <r>
    <x v="2"/>
    <x v="5"/>
    <x v="1"/>
    <x v="36"/>
    <x v="36"/>
    <x v="5"/>
    <x v="2"/>
    <x v="13"/>
  </r>
  <r>
    <x v="2"/>
    <x v="5"/>
    <x v="1"/>
    <x v="7"/>
    <x v="7"/>
    <x v="3"/>
    <x v="6"/>
    <x v="7"/>
  </r>
  <r>
    <x v="2"/>
    <x v="5"/>
    <x v="1"/>
    <x v="10"/>
    <x v="10"/>
    <x v="1"/>
    <x v="5"/>
    <x v="6"/>
  </r>
  <r>
    <x v="2"/>
    <x v="5"/>
    <x v="1"/>
    <x v="22"/>
    <x v="22"/>
    <x v="2"/>
    <x v="4"/>
    <x v="5"/>
  </r>
  <r>
    <x v="2"/>
    <x v="5"/>
    <x v="3"/>
    <x v="23"/>
    <x v="23"/>
    <x v="5"/>
    <x v="5"/>
    <x v="19"/>
  </r>
  <r>
    <x v="2"/>
    <x v="5"/>
    <x v="3"/>
    <x v="37"/>
    <x v="37"/>
    <x v="5"/>
    <x v="5"/>
    <x v="19"/>
  </r>
  <r>
    <x v="2"/>
    <x v="5"/>
    <x v="3"/>
    <x v="14"/>
    <x v="14"/>
    <x v="3"/>
    <x v="5"/>
    <x v="11"/>
  </r>
  <r>
    <x v="2"/>
    <x v="5"/>
    <x v="3"/>
    <x v="19"/>
    <x v="19"/>
    <x v="2"/>
    <x v="5"/>
    <x v="10"/>
  </r>
  <r>
    <x v="2"/>
    <x v="6"/>
    <x v="0"/>
    <x v="24"/>
    <x v="24"/>
    <x v="1"/>
    <x v="8"/>
    <x v="17"/>
  </r>
  <r>
    <x v="2"/>
    <x v="6"/>
    <x v="0"/>
    <x v="0"/>
    <x v="0"/>
    <x v="9"/>
    <x v="0"/>
    <x v="26"/>
  </r>
  <r>
    <x v="2"/>
    <x v="6"/>
    <x v="0"/>
    <x v="38"/>
    <x v="38"/>
    <x v="1"/>
    <x v="12"/>
    <x v="22"/>
  </r>
  <r>
    <x v="2"/>
    <x v="6"/>
    <x v="0"/>
    <x v="39"/>
    <x v="39"/>
    <x v="1"/>
    <x v="5"/>
    <x v="6"/>
  </r>
  <r>
    <x v="2"/>
    <x v="6"/>
    <x v="0"/>
    <x v="40"/>
    <x v="40"/>
    <x v="1"/>
    <x v="5"/>
    <x v="6"/>
  </r>
  <r>
    <x v="2"/>
    <x v="6"/>
    <x v="1"/>
    <x v="20"/>
    <x v="20"/>
    <x v="1"/>
    <x v="4"/>
    <x v="4"/>
  </r>
  <r>
    <x v="2"/>
    <x v="6"/>
    <x v="1"/>
    <x v="30"/>
    <x v="30"/>
    <x v="2"/>
    <x v="4"/>
    <x v="5"/>
  </r>
  <r>
    <x v="2"/>
    <x v="6"/>
    <x v="1"/>
    <x v="2"/>
    <x v="2"/>
    <x v="1"/>
    <x v="2"/>
    <x v="2"/>
  </r>
  <r>
    <x v="2"/>
    <x v="6"/>
    <x v="1"/>
    <x v="6"/>
    <x v="6"/>
    <x v="2"/>
    <x v="5"/>
    <x v="10"/>
  </r>
  <r>
    <x v="2"/>
    <x v="6"/>
    <x v="1"/>
    <x v="7"/>
    <x v="7"/>
    <x v="2"/>
    <x v="6"/>
    <x v="15"/>
  </r>
  <r>
    <x v="2"/>
    <x v="6"/>
    <x v="1"/>
    <x v="41"/>
    <x v="41"/>
    <x v="2"/>
    <x v="5"/>
    <x v="10"/>
  </r>
  <r>
    <x v="2"/>
    <x v="6"/>
    <x v="5"/>
    <x v="42"/>
    <x v="42"/>
    <x v="1"/>
    <x v="13"/>
    <x v="27"/>
  </r>
  <r>
    <x v="2"/>
    <x v="6"/>
    <x v="2"/>
    <x v="11"/>
    <x v="11"/>
    <x v="1"/>
    <x v="0"/>
    <x v="9"/>
  </r>
  <r>
    <x v="2"/>
    <x v="6"/>
    <x v="3"/>
    <x v="23"/>
    <x v="23"/>
    <x v="5"/>
    <x v="5"/>
    <x v="19"/>
  </r>
  <r>
    <x v="2"/>
    <x v="6"/>
    <x v="3"/>
    <x v="14"/>
    <x v="14"/>
    <x v="5"/>
    <x v="5"/>
    <x v="19"/>
  </r>
  <r>
    <x v="2"/>
    <x v="6"/>
    <x v="3"/>
    <x v="17"/>
    <x v="17"/>
    <x v="2"/>
    <x v="5"/>
    <x v="10"/>
  </r>
  <r>
    <x v="2"/>
    <x v="7"/>
    <x v="0"/>
    <x v="0"/>
    <x v="0"/>
    <x v="1"/>
    <x v="0"/>
    <x v="9"/>
  </r>
  <r>
    <x v="2"/>
    <x v="7"/>
    <x v="4"/>
    <x v="27"/>
    <x v="27"/>
    <x v="1"/>
    <x v="10"/>
    <x v="28"/>
  </r>
  <r>
    <x v="2"/>
    <x v="7"/>
    <x v="2"/>
    <x v="33"/>
    <x v="33"/>
    <x v="1"/>
    <x v="11"/>
    <x v="29"/>
  </r>
  <r>
    <x v="2"/>
    <x v="7"/>
    <x v="3"/>
    <x v="23"/>
    <x v="23"/>
    <x v="2"/>
    <x v="5"/>
    <x v="10"/>
  </r>
  <r>
    <x v="2"/>
    <x v="7"/>
    <x v="3"/>
    <x v="43"/>
    <x v="43"/>
    <x v="1"/>
    <x v="5"/>
    <x v="6"/>
  </r>
  <r>
    <x v="3"/>
    <x v="8"/>
    <x v="0"/>
    <x v="0"/>
    <x v="0"/>
    <x v="0"/>
    <x v="0"/>
    <x v="0"/>
  </r>
  <r>
    <x v="3"/>
    <x v="8"/>
    <x v="0"/>
    <x v="25"/>
    <x v="25"/>
    <x v="1"/>
    <x v="9"/>
    <x v="18"/>
  </r>
  <r>
    <x v="3"/>
    <x v="8"/>
    <x v="1"/>
    <x v="2"/>
    <x v="2"/>
    <x v="2"/>
    <x v="2"/>
    <x v="30"/>
  </r>
  <r>
    <x v="3"/>
    <x v="8"/>
    <x v="1"/>
    <x v="36"/>
    <x v="36"/>
    <x v="2"/>
    <x v="2"/>
    <x v="30"/>
  </r>
  <r>
    <x v="3"/>
    <x v="8"/>
    <x v="1"/>
    <x v="7"/>
    <x v="7"/>
    <x v="2"/>
    <x v="6"/>
    <x v="15"/>
  </r>
  <r>
    <x v="3"/>
    <x v="8"/>
    <x v="3"/>
    <x v="23"/>
    <x v="23"/>
    <x v="5"/>
    <x v="5"/>
    <x v="19"/>
  </r>
  <r>
    <x v="3"/>
    <x v="8"/>
    <x v="3"/>
    <x v="37"/>
    <x v="37"/>
    <x v="1"/>
    <x v="5"/>
    <x v="6"/>
  </r>
  <r>
    <x v="3"/>
    <x v="8"/>
    <x v="3"/>
    <x v="14"/>
    <x v="14"/>
    <x v="2"/>
    <x v="5"/>
    <x v="10"/>
  </r>
  <r>
    <x v="3"/>
    <x v="8"/>
    <x v="3"/>
    <x v="16"/>
    <x v="16"/>
    <x v="2"/>
    <x v="5"/>
    <x v="10"/>
  </r>
  <r>
    <x v="3"/>
    <x v="8"/>
    <x v="3"/>
    <x v="18"/>
    <x v="18"/>
    <x v="4"/>
    <x v="5"/>
    <x v="31"/>
  </r>
  <r>
    <x v="3"/>
    <x v="9"/>
    <x v="0"/>
    <x v="0"/>
    <x v="0"/>
    <x v="5"/>
    <x v="0"/>
    <x v="17"/>
  </r>
  <r>
    <x v="3"/>
    <x v="9"/>
    <x v="0"/>
    <x v="44"/>
    <x v="44"/>
    <x v="1"/>
    <x v="14"/>
    <x v="32"/>
  </r>
  <r>
    <x v="3"/>
    <x v="9"/>
    <x v="0"/>
    <x v="1"/>
    <x v="1"/>
    <x v="1"/>
    <x v="1"/>
    <x v="1"/>
  </r>
  <r>
    <x v="3"/>
    <x v="9"/>
    <x v="1"/>
    <x v="45"/>
    <x v="45"/>
    <x v="1"/>
    <x v="4"/>
    <x v="4"/>
  </r>
  <r>
    <x v="3"/>
    <x v="9"/>
    <x v="1"/>
    <x v="2"/>
    <x v="2"/>
    <x v="1"/>
    <x v="2"/>
    <x v="2"/>
  </r>
  <r>
    <x v="3"/>
    <x v="9"/>
    <x v="1"/>
    <x v="31"/>
    <x v="31"/>
    <x v="1"/>
    <x v="4"/>
    <x v="4"/>
  </r>
  <r>
    <x v="3"/>
    <x v="9"/>
    <x v="1"/>
    <x v="46"/>
    <x v="46"/>
    <x v="1"/>
    <x v="4"/>
    <x v="4"/>
  </r>
  <r>
    <x v="3"/>
    <x v="9"/>
    <x v="1"/>
    <x v="7"/>
    <x v="7"/>
    <x v="1"/>
    <x v="6"/>
    <x v="33"/>
  </r>
  <r>
    <x v="3"/>
    <x v="9"/>
    <x v="5"/>
    <x v="42"/>
    <x v="42"/>
    <x v="1"/>
    <x v="13"/>
    <x v="27"/>
  </r>
  <r>
    <x v="3"/>
    <x v="9"/>
    <x v="2"/>
    <x v="47"/>
    <x v="47"/>
    <x v="2"/>
    <x v="12"/>
    <x v="16"/>
  </r>
  <r>
    <x v="3"/>
    <x v="9"/>
    <x v="3"/>
    <x v="23"/>
    <x v="23"/>
    <x v="2"/>
    <x v="5"/>
    <x v="10"/>
  </r>
  <r>
    <x v="3"/>
    <x v="9"/>
    <x v="3"/>
    <x v="14"/>
    <x v="14"/>
    <x v="5"/>
    <x v="5"/>
    <x v="19"/>
  </r>
  <r>
    <x v="3"/>
    <x v="9"/>
    <x v="3"/>
    <x v="15"/>
    <x v="15"/>
    <x v="1"/>
    <x v="5"/>
    <x v="6"/>
  </r>
  <r>
    <x v="3"/>
    <x v="9"/>
    <x v="3"/>
    <x v="19"/>
    <x v="19"/>
    <x v="1"/>
    <x v="5"/>
    <x v="6"/>
  </r>
  <r>
    <x v="3"/>
    <x v="10"/>
    <x v="1"/>
    <x v="7"/>
    <x v="7"/>
    <x v="2"/>
    <x v="6"/>
    <x v="15"/>
  </r>
  <r>
    <x v="3"/>
    <x v="10"/>
    <x v="1"/>
    <x v="9"/>
    <x v="9"/>
    <x v="1"/>
    <x v="7"/>
    <x v="3"/>
  </r>
  <r>
    <x v="3"/>
    <x v="10"/>
    <x v="2"/>
    <x v="33"/>
    <x v="33"/>
    <x v="1"/>
    <x v="11"/>
    <x v="29"/>
  </r>
  <r>
    <x v="3"/>
    <x v="10"/>
    <x v="3"/>
    <x v="23"/>
    <x v="23"/>
    <x v="1"/>
    <x v="5"/>
    <x v="6"/>
  </r>
  <r>
    <x v="3"/>
    <x v="10"/>
    <x v="3"/>
    <x v="13"/>
    <x v="13"/>
    <x v="2"/>
    <x v="5"/>
    <x v="10"/>
  </r>
  <r>
    <x v="3"/>
    <x v="10"/>
    <x v="3"/>
    <x v="26"/>
    <x v="26"/>
    <x v="1"/>
    <x v="5"/>
    <x v="6"/>
  </r>
  <r>
    <x v="3"/>
    <x v="10"/>
    <x v="3"/>
    <x v="34"/>
    <x v="34"/>
    <x v="1"/>
    <x v="5"/>
    <x v="6"/>
  </r>
  <r>
    <x v="3"/>
    <x v="10"/>
    <x v="3"/>
    <x v="17"/>
    <x v="17"/>
    <x v="1"/>
    <x v="5"/>
    <x v="6"/>
  </r>
  <r>
    <x v="3"/>
    <x v="11"/>
    <x v="0"/>
    <x v="0"/>
    <x v="0"/>
    <x v="3"/>
    <x v="0"/>
    <x v="34"/>
  </r>
  <r>
    <x v="3"/>
    <x v="11"/>
    <x v="0"/>
    <x v="25"/>
    <x v="25"/>
    <x v="1"/>
    <x v="9"/>
    <x v="18"/>
  </r>
  <r>
    <x v="3"/>
    <x v="11"/>
    <x v="4"/>
    <x v="27"/>
    <x v="27"/>
    <x v="1"/>
    <x v="10"/>
    <x v="28"/>
  </r>
  <r>
    <x v="3"/>
    <x v="11"/>
    <x v="3"/>
    <x v="14"/>
    <x v="14"/>
    <x v="5"/>
    <x v="5"/>
    <x v="19"/>
  </r>
  <r>
    <x v="4"/>
    <x v="12"/>
    <x v="0"/>
    <x v="0"/>
    <x v="0"/>
    <x v="10"/>
    <x v="0"/>
    <x v="35"/>
  </r>
  <r>
    <x v="4"/>
    <x v="12"/>
    <x v="4"/>
    <x v="27"/>
    <x v="27"/>
    <x v="1"/>
    <x v="10"/>
    <x v="28"/>
  </r>
  <r>
    <x v="4"/>
    <x v="12"/>
    <x v="1"/>
    <x v="20"/>
    <x v="20"/>
    <x v="1"/>
    <x v="4"/>
    <x v="4"/>
  </r>
  <r>
    <x v="4"/>
    <x v="12"/>
    <x v="1"/>
    <x v="2"/>
    <x v="2"/>
    <x v="1"/>
    <x v="2"/>
    <x v="2"/>
  </r>
  <r>
    <x v="4"/>
    <x v="12"/>
    <x v="1"/>
    <x v="36"/>
    <x v="36"/>
    <x v="2"/>
    <x v="2"/>
    <x v="30"/>
  </r>
  <r>
    <x v="4"/>
    <x v="12"/>
    <x v="1"/>
    <x v="48"/>
    <x v="48"/>
    <x v="1"/>
    <x v="4"/>
    <x v="4"/>
  </r>
  <r>
    <x v="4"/>
    <x v="12"/>
    <x v="1"/>
    <x v="7"/>
    <x v="7"/>
    <x v="8"/>
    <x v="6"/>
    <x v="36"/>
  </r>
  <r>
    <x v="4"/>
    <x v="12"/>
    <x v="1"/>
    <x v="49"/>
    <x v="49"/>
    <x v="11"/>
    <x v="4"/>
    <x v="37"/>
  </r>
  <r>
    <x v="4"/>
    <x v="12"/>
    <x v="3"/>
    <x v="23"/>
    <x v="23"/>
    <x v="7"/>
    <x v="5"/>
    <x v="22"/>
  </r>
  <r>
    <x v="4"/>
    <x v="12"/>
    <x v="3"/>
    <x v="37"/>
    <x v="37"/>
    <x v="2"/>
    <x v="5"/>
    <x v="10"/>
  </r>
  <r>
    <x v="4"/>
    <x v="12"/>
    <x v="3"/>
    <x v="14"/>
    <x v="14"/>
    <x v="1"/>
    <x v="5"/>
    <x v="6"/>
  </r>
  <r>
    <x v="4"/>
    <x v="12"/>
    <x v="3"/>
    <x v="50"/>
    <x v="50"/>
    <x v="1"/>
    <x v="5"/>
    <x v="6"/>
  </r>
  <r>
    <x v="4"/>
    <x v="12"/>
    <x v="3"/>
    <x v="15"/>
    <x v="15"/>
    <x v="1"/>
    <x v="5"/>
    <x v="6"/>
  </r>
  <r>
    <x v="4"/>
    <x v="12"/>
    <x v="3"/>
    <x v="17"/>
    <x v="17"/>
    <x v="1"/>
    <x v="5"/>
    <x v="6"/>
  </r>
  <r>
    <x v="4"/>
    <x v="12"/>
    <x v="3"/>
    <x v="19"/>
    <x v="19"/>
    <x v="2"/>
    <x v="5"/>
    <x v="10"/>
  </r>
  <r>
    <x v="4"/>
    <x v="13"/>
    <x v="0"/>
    <x v="0"/>
    <x v="0"/>
    <x v="3"/>
    <x v="0"/>
    <x v="34"/>
  </r>
  <r>
    <x v="4"/>
    <x v="13"/>
    <x v="0"/>
    <x v="38"/>
    <x v="38"/>
    <x v="1"/>
    <x v="12"/>
    <x v="22"/>
  </r>
  <r>
    <x v="4"/>
    <x v="13"/>
    <x v="0"/>
    <x v="1"/>
    <x v="1"/>
    <x v="1"/>
    <x v="1"/>
    <x v="1"/>
  </r>
  <r>
    <x v="4"/>
    <x v="13"/>
    <x v="1"/>
    <x v="29"/>
    <x v="29"/>
    <x v="1"/>
    <x v="4"/>
    <x v="4"/>
  </r>
  <r>
    <x v="4"/>
    <x v="13"/>
    <x v="1"/>
    <x v="20"/>
    <x v="20"/>
    <x v="2"/>
    <x v="4"/>
    <x v="5"/>
  </r>
  <r>
    <x v="4"/>
    <x v="13"/>
    <x v="1"/>
    <x v="30"/>
    <x v="30"/>
    <x v="1"/>
    <x v="4"/>
    <x v="4"/>
  </r>
  <r>
    <x v="4"/>
    <x v="13"/>
    <x v="1"/>
    <x v="2"/>
    <x v="2"/>
    <x v="2"/>
    <x v="2"/>
    <x v="30"/>
  </r>
  <r>
    <x v="4"/>
    <x v="13"/>
    <x v="1"/>
    <x v="35"/>
    <x v="35"/>
    <x v="1"/>
    <x v="3"/>
    <x v="14"/>
  </r>
  <r>
    <x v="4"/>
    <x v="13"/>
    <x v="1"/>
    <x v="31"/>
    <x v="31"/>
    <x v="1"/>
    <x v="4"/>
    <x v="4"/>
  </r>
  <r>
    <x v="4"/>
    <x v="13"/>
    <x v="1"/>
    <x v="21"/>
    <x v="21"/>
    <x v="1"/>
    <x v="4"/>
    <x v="4"/>
  </r>
  <r>
    <x v="4"/>
    <x v="13"/>
    <x v="1"/>
    <x v="7"/>
    <x v="7"/>
    <x v="1"/>
    <x v="6"/>
    <x v="33"/>
  </r>
  <r>
    <x v="4"/>
    <x v="13"/>
    <x v="1"/>
    <x v="8"/>
    <x v="8"/>
    <x v="1"/>
    <x v="5"/>
    <x v="6"/>
  </r>
  <r>
    <x v="4"/>
    <x v="13"/>
    <x v="1"/>
    <x v="9"/>
    <x v="9"/>
    <x v="1"/>
    <x v="7"/>
    <x v="3"/>
  </r>
  <r>
    <x v="4"/>
    <x v="13"/>
    <x v="1"/>
    <x v="22"/>
    <x v="22"/>
    <x v="1"/>
    <x v="4"/>
    <x v="4"/>
  </r>
  <r>
    <x v="4"/>
    <x v="13"/>
    <x v="5"/>
    <x v="42"/>
    <x v="42"/>
    <x v="1"/>
    <x v="13"/>
    <x v="27"/>
  </r>
  <r>
    <x v="4"/>
    <x v="13"/>
    <x v="2"/>
    <x v="51"/>
    <x v="51"/>
    <x v="1"/>
    <x v="12"/>
    <x v="22"/>
  </r>
  <r>
    <x v="4"/>
    <x v="13"/>
    <x v="2"/>
    <x v="47"/>
    <x v="47"/>
    <x v="2"/>
    <x v="12"/>
    <x v="16"/>
  </r>
  <r>
    <x v="4"/>
    <x v="13"/>
    <x v="2"/>
    <x v="11"/>
    <x v="11"/>
    <x v="1"/>
    <x v="0"/>
    <x v="9"/>
  </r>
  <r>
    <x v="4"/>
    <x v="13"/>
    <x v="3"/>
    <x v="23"/>
    <x v="23"/>
    <x v="1"/>
    <x v="5"/>
    <x v="6"/>
  </r>
  <r>
    <x v="4"/>
    <x v="13"/>
    <x v="3"/>
    <x v="14"/>
    <x v="14"/>
    <x v="1"/>
    <x v="5"/>
    <x v="6"/>
  </r>
  <r>
    <x v="4"/>
    <x v="13"/>
    <x v="3"/>
    <x v="15"/>
    <x v="15"/>
    <x v="1"/>
    <x v="5"/>
    <x v="6"/>
  </r>
  <r>
    <x v="4"/>
    <x v="13"/>
    <x v="3"/>
    <x v="17"/>
    <x v="17"/>
    <x v="1"/>
    <x v="5"/>
    <x v="6"/>
  </r>
  <r>
    <x v="4"/>
    <x v="13"/>
    <x v="3"/>
    <x v="18"/>
    <x v="18"/>
    <x v="1"/>
    <x v="5"/>
    <x v="6"/>
  </r>
  <r>
    <x v="4"/>
    <x v="13"/>
    <x v="3"/>
    <x v="19"/>
    <x v="19"/>
    <x v="1"/>
    <x v="5"/>
    <x v="6"/>
  </r>
  <r>
    <x v="4"/>
    <x v="14"/>
    <x v="0"/>
    <x v="0"/>
    <x v="0"/>
    <x v="8"/>
    <x v="0"/>
    <x v="38"/>
  </r>
  <r>
    <x v="4"/>
    <x v="14"/>
    <x v="0"/>
    <x v="39"/>
    <x v="39"/>
    <x v="1"/>
    <x v="5"/>
    <x v="6"/>
  </r>
  <r>
    <x v="4"/>
    <x v="14"/>
    <x v="0"/>
    <x v="40"/>
    <x v="40"/>
    <x v="1"/>
    <x v="5"/>
    <x v="6"/>
  </r>
  <r>
    <x v="4"/>
    <x v="14"/>
    <x v="4"/>
    <x v="27"/>
    <x v="27"/>
    <x v="2"/>
    <x v="10"/>
    <x v="21"/>
  </r>
  <r>
    <x v="4"/>
    <x v="14"/>
    <x v="1"/>
    <x v="28"/>
    <x v="28"/>
    <x v="1"/>
    <x v="4"/>
    <x v="4"/>
  </r>
  <r>
    <x v="4"/>
    <x v="14"/>
    <x v="1"/>
    <x v="30"/>
    <x v="30"/>
    <x v="1"/>
    <x v="4"/>
    <x v="4"/>
  </r>
  <r>
    <x v="4"/>
    <x v="14"/>
    <x v="1"/>
    <x v="3"/>
    <x v="3"/>
    <x v="1"/>
    <x v="3"/>
    <x v="14"/>
  </r>
  <r>
    <x v="4"/>
    <x v="14"/>
    <x v="1"/>
    <x v="7"/>
    <x v="7"/>
    <x v="1"/>
    <x v="6"/>
    <x v="33"/>
  </r>
  <r>
    <x v="4"/>
    <x v="14"/>
    <x v="1"/>
    <x v="52"/>
    <x v="52"/>
    <x v="1"/>
    <x v="7"/>
    <x v="3"/>
  </r>
  <r>
    <x v="4"/>
    <x v="14"/>
    <x v="1"/>
    <x v="9"/>
    <x v="9"/>
    <x v="1"/>
    <x v="7"/>
    <x v="3"/>
  </r>
  <r>
    <x v="4"/>
    <x v="14"/>
    <x v="6"/>
    <x v="53"/>
    <x v="53"/>
    <x v="1"/>
    <x v="15"/>
    <x v="39"/>
  </r>
  <r>
    <x v="4"/>
    <x v="14"/>
    <x v="2"/>
    <x v="54"/>
    <x v="54"/>
    <x v="1"/>
    <x v="12"/>
    <x v="22"/>
  </r>
  <r>
    <x v="4"/>
    <x v="14"/>
    <x v="3"/>
    <x v="23"/>
    <x v="23"/>
    <x v="2"/>
    <x v="5"/>
    <x v="10"/>
  </r>
  <r>
    <x v="4"/>
    <x v="14"/>
    <x v="3"/>
    <x v="14"/>
    <x v="14"/>
    <x v="2"/>
    <x v="5"/>
    <x v="10"/>
  </r>
  <r>
    <x v="5"/>
    <x v="15"/>
    <x v="0"/>
    <x v="0"/>
    <x v="0"/>
    <x v="12"/>
    <x v="0"/>
    <x v="40"/>
  </r>
  <r>
    <x v="5"/>
    <x v="15"/>
    <x v="0"/>
    <x v="55"/>
    <x v="55"/>
    <x v="1"/>
    <x v="16"/>
    <x v="41"/>
  </r>
  <r>
    <x v="5"/>
    <x v="15"/>
    <x v="1"/>
    <x v="30"/>
    <x v="30"/>
    <x v="1"/>
    <x v="4"/>
    <x v="4"/>
  </r>
  <r>
    <x v="5"/>
    <x v="15"/>
    <x v="1"/>
    <x v="36"/>
    <x v="36"/>
    <x v="7"/>
    <x v="2"/>
    <x v="25"/>
  </r>
  <r>
    <x v="5"/>
    <x v="15"/>
    <x v="1"/>
    <x v="4"/>
    <x v="4"/>
    <x v="1"/>
    <x v="4"/>
    <x v="4"/>
  </r>
  <r>
    <x v="5"/>
    <x v="15"/>
    <x v="1"/>
    <x v="5"/>
    <x v="5"/>
    <x v="2"/>
    <x v="4"/>
    <x v="5"/>
  </r>
  <r>
    <x v="5"/>
    <x v="15"/>
    <x v="1"/>
    <x v="7"/>
    <x v="7"/>
    <x v="2"/>
    <x v="6"/>
    <x v="15"/>
  </r>
  <r>
    <x v="5"/>
    <x v="15"/>
    <x v="1"/>
    <x v="8"/>
    <x v="8"/>
    <x v="1"/>
    <x v="5"/>
    <x v="6"/>
  </r>
  <r>
    <x v="5"/>
    <x v="15"/>
    <x v="2"/>
    <x v="33"/>
    <x v="33"/>
    <x v="2"/>
    <x v="11"/>
    <x v="42"/>
  </r>
  <r>
    <x v="5"/>
    <x v="15"/>
    <x v="3"/>
    <x v="23"/>
    <x v="23"/>
    <x v="4"/>
    <x v="5"/>
    <x v="31"/>
  </r>
  <r>
    <x v="5"/>
    <x v="15"/>
    <x v="3"/>
    <x v="37"/>
    <x v="37"/>
    <x v="5"/>
    <x v="5"/>
    <x v="19"/>
  </r>
  <r>
    <x v="5"/>
    <x v="15"/>
    <x v="3"/>
    <x v="14"/>
    <x v="14"/>
    <x v="5"/>
    <x v="5"/>
    <x v="19"/>
  </r>
  <r>
    <x v="5"/>
    <x v="15"/>
    <x v="3"/>
    <x v="15"/>
    <x v="15"/>
    <x v="1"/>
    <x v="5"/>
    <x v="6"/>
  </r>
  <r>
    <x v="5"/>
    <x v="15"/>
    <x v="3"/>
    <x v="17"/>
    <x v="17"/>
    <x v="1"/>
    <x v="5"/>
    <x v="6"/>
  </r>
  <r>
    <x v="5"/>
    <x v="15"/>
    <x v="3"/>
    <x v="43"/>
    <x v="43"/>
    <x v="1"/>
    <x v="5"/>
    <x v="6"/>
  </r>
  <r>
    <x v="5"/>
    <x v="15"/>
    <x v="3"/>
    <x v="19"/>
    <x v="19"/>
    <x v="5"/>
    <x v="5"/>
    <x v="19"/>
  </r>
  <r>
    <x v="5"/>
    <x v="16"/>
    <x v="0"/>
    <x v="0"/>
    <x v="0"/>
    <x v="7"/>
    <x v="0"/>
    <x v="20"/>
  </r>
  <r>
    <x v="5"/>
    <x v="16"/>
    <x v="2"/>
    <x v="33"/>
    <x v="33"/>
    <x v="1"/>
    <x v="11"/>
    <x v="29"/>
  </r>
  <r>
    <x v="5"/>
    <x v="16"/>
    <x v="3"/>
    <x v="18"/>
    <x v="18"/>
    <x v="13"/>
    <x v="5"/>
    <x v="1"/>
  </r>
  <r>
    <x v="5"/>
    <x v="17"/>
    <x v="0"/>
    <x v="24"/>
    <x v="24"/>
    <x v="1"/>
    <x v="8"/>
    <x v="17"/>
  </r>
  <r>
    <x v="5"/>
    <x v="17"/>
    <x v="0"/>
    <x v="0"/>
    <x v="0"/>
    <x v="8"/>
    <x v="0"/>
    <x v="38"/>
  </r>
  <r>
    <x v="5"/>
    <x v="17"/>
    <x v="0"/>
    <x v="44"/>
    <x v="44"/>
    <x v="1"/>
    <x v="14"/>
    <x v="32"/>
  </r>
  <r>
    <x v="5"/>
    <x v="17"/>
    <x v="0"/>
    <x v="39"/>
    <x v="39"/>
    <x v="1"/>
    <x v="5"/>
    <x v="6"/>
  </r>
  <r>
    <x v="5"/>
    <x v="17"/>
    <x v="0"/>
    <x v="40"/>
    <x v="40"/>
    <x v="1"/>
    <x v="5"/>
    <x v="6"/>
  </r>
  <r>
    <x v="5"/>
    <x v="17"/>
    <x v="4"/>
    <x v="27"/>
    <x v="27"/>
    <x v="1"/>
    <x v="10"/>
    <x v="28"/>
  </r>
  <r>
    <x v="5"/>
    <x v="17"/>
    <x v="1"/>
    <x v="2"/>
    <x v="2"/>
    <x v="2"/>
    <x v="2"/>
    <x v="30"/>
  </r>
  <r>
    <x v="5"/>
    <x v="17"/>
    <x v="1"/>
    <x v="3"/>
    <x v="3"/>
    <x v="1"/>
    <x v="3"/>
    <x v="14"/>
  </r>
  <r>
    <x v="5"/>
    <x v="17"/>
    <x v="1"/>
    <x v="36"/>
    <x v="36"/>
    <x v="1"/>
    <x v="2"/>
    <x v="2"/>
  </r>
  <r>
    <x v="5"/>
    <x v="17"/>
    <x v="1"/>
    <x v="6"/>
    <x v="6"/>
    <x v="2"/>
    <x v="5"/>
    <x v="10"/>
  </r>
  <r>
    <x v="5"/>
    <x v="17"/>
    <x v="1"/>
    <x v="7"/>
    <x v="7"/>
    <x v="5"/>
    <x v="6"/>
    <x v="43"/>
  </r>
  <r>
    <x v="5"/>
    <x v="17"/>
    <x v="1"/>
    <x v="52"/>
    <x v="52"/>
    <x v="1"/>
    <x v="7"/>
    <x v="3"/>
  </r>
  <r>
    <x v="5"/>
    <x v="17"/>
    <x v="1"/>
    <x v="9"/>
    <x v="9"/>
    <x v="1"/>
    <x v="7"/>
    <x v="3"/>
  </r>
  <r>
    <x v="5"/>
    <x v="17"/>
    <x v="5"/>
    <x v="42"/>
    <x v="42"/>
    <x v="1"/>
    <x v="13"/>
    <x v="27"/>
  </r>
  <r>
    <x v="5"/>
    <x v="17"/>
    <x v="2"/>
    <x v="47"/>
    <x v="47"/>
    <x v="1"/>
    <x v="12"/>
    <x v="22"/>
  </r>
  <r>
    <x v="5"/>
    <x v="17"/>
    <x v="2"/>
    <x v="11"/>
    <x v="11"/>
    <x v="1"/>
    <x v="0"/>
    <x v="9"/>
  </r>
  <r>
    <x v="5"/>
    <x v="17"/>
    <x v="3"/>
    <x v="23"/>
    <x v="23"/>
    <x v="7"/>
    <x v="5"/>
    <x v="22"/>
  </r>
  <r>
    <x v="5"/>
    <x v="17"/>
    <x v="3"/>
    <x v="13"/>
    <x v="13"/>
    <x v="1"/>
    <x v="5"/>
    <x v="6"/>
  </r>
  <r>
    <x v="5"/>
    <x v="17"/>
    <x v="3"/>
    <x v="14"/>
    <x v="14"/>
    <x v="5"/>
    <x v="5"/>
    <x v="19"/>
  </r>
  <r>
    <x v="5"/>
    <x v="17"/>
    <x v="3"/>
    <x v="15"/>
    <x v="15"/>
    <x v="1"/>
    <x v="5"/>
    <x v="6"/>
  </r>
  <r>
    <x v="5"/>
    <x v="17"/>
    <x v="3"/>
    <x v="17"/>
    <x v="17"/>
    <x v="2"/>
    <x v="5"/>
    <x v="10"/>
  </r>
  <r>
    <x v="5"/>
    <x v="17"/>
    <x v="3"/>
    <x v="18"/>
    <x v="18"/>
    <x v="2"/>
    <x v="5"/>
    <x v="10"/>
  </r>
  <r>
    <x v="5"/>
    <x v="18"/>
    <x v="0"/>
    <x v="0"/>
    <x v="0"/>
    <x v="1"/>
    <x v="0"/>
    <x v="9"/>
  </r>
  <r>
    <x v="5"/>
    <x v="18"/>
    <x v="1"/>
    <x v="36"/>
    <x v="36"/>
    <x v="1"/>
    <x v="2"/>
    <x v="2"/>
  </r>
  <r>
    <x v="5"/>
    <x v="18"/>
    <x v="1"/>
    <x v="7"/>
    <x v="7"/>
    <x v="1"/>
    <x v="6"/>
    <x v="33"/>
  </r>
  <r>
    <x v="5"/>
    <x v="18"/>
    <x v="1"/>
    <x v="8"/>
    <x v="8"/>
    <x v="2"/>
    <x v="5"/>
    <x v="10"/>
  </r>
  <r>
    <x v="5"/>
    <x v="18"/>
    <x v="2"/>
    <x v="33"/>
    <x v="33"/>
    <x v="1"/>
    <x v="11"/>
    <x v="29"/>
  </r>
  <r>
    <x v="5"/>
    <x v="18"/>
    <x v="3"/>
    <x v="37"/>
    <x v="37"/>
    <x v="2"/>
    <x v="5"/>
    <x v="10"/>
  </r>
  <r>
    <x v="6"/>
    <x v="19"/>
    <x v="0"/>
    <x v="0"/>
    <x v="0"/>
    <x v="4"/>
    <x v="0"/>
    <x v="12"/>
  </r>
  <r>
    <x v="6"/>
    <x v="19"/>
    <x v="0"/>
    <x v="25"/>
    <x v="25"/>
    <x v="1"/>
    <x v="9"/>
    <x v="18"/>
  </r>
  <r>
    <x v="6"/>
    <x v="19"/>
    <x v="0"/>
    <x v="1"/>
    <x v="1"/>
    <x v="1"/>
    <x v="1"/>
    <x v="1"/>
  </r>
  <r>
    <x v="6"/>
    <x v="19"/>
    <x v="4"/>
    <x v="27"/>
    <x v="27"/>
    <x v="1"/>
    <x v="10"/>
    <x v="28"/>
  </r>
  <r>
    <x v="6"/>
    <x v="19"/>
    <x v="1"/>
    <x v="31"/>
    <x v="31"/>
    <x v="2"/>
    <x v="4"/>
    <x v="5"/>
  </r>
  <r>
    <x v="6"/>
    <x v="19"/>
    <x v="1"/>
    <x v="36"/>
    <x v="36"/>
    <x v="2"/>
    <x v="2"/>
    <x v="30"/>
  </r>
  <r>
    <x v="6"/>
    <x v="19"/>
    <x v="1"/>
    <x v="5"/>
    <x v="5"/>
    <x v="2"/>
    <x v="4"/>
    <x v="5"/>
  </r>
  <r>
    <x v="6"/>
    <x v="19"/>
    <x v="2"/>
    <x v="51"/>
    <x v="51"/>
    <x v="1"/>
    <x v="12"/>
    <x v="22"/>
  </r>
  <r>
    <x v="6"/>
    <x v="19"/>
    <x v="2"/>
    <x v="54"/>
    <x v="54"/>
    <x v="1"/>
    <x v="12"/>
    <x v="22"/>
  </r>
  <r>
    <x v="6"/>
    <x v="19"/>
    <x v="3"/>
    <x v="23"/>
    <x v="23"/>
    <x v="7"/>
    <x v="5"/>
    <x v="22"/>
  </r>
  <r>
    <x v="6"/>
    <x v="19"/>
    <x v="3"/>
    <x v="26"/>
    <x v="26"/>
    <x v="1"/>
    <x v="5"/>
    <x v="6"/>
  </r>
  <r>
    <x v="6"/>
    <x v="19"/>
    <x v="3"/>
    <x v="37"/>
    <x v="37"/>
    <x v="1"/>
    <x v="5"/>
    <x v="6"/>
  </r>
  <r>
    <x v="6"/>
    <x v="19"/>
    <x v="3"/>
    <x v="14"/>
    <x v="14"/>
    <x v="5"/>
    <x v="5"/>
    <x v="19"/>
  </r>
  <r>
    <x v="6"/>
    <x v="19"/>
    <x v="3"/>
    <x v="15"/>
    <x v="15"/>
    <x v="1"/>
    <x v="5"/>
    <x v="6"/>
  </r>
  <r>
    <x v="6"/>
    <x v="19"/>
    <x v="3"/>
    <x v="17"/>
    <x v="17"/>
    <x v="2"/>
    <x v="5"/>
    <x v="10"/>
  </r>
  <r>
    <x v="6"/>
    <x v="19"/>
    <x v="3"/>
    <x v="18"/>
    <x v="18"/>
    <x v="3"/>
    <x v="5"/>
    <x v="11"/>
  </r>
  <r>
    <x v="6"/>
    <x v="19"/>
    <x v="3"/>
    <x v="19"/>
    <x v="19"/>
    <x v="1"/>
    <x v="5"/>
    <x v="6"/>
  </r>
  <r>
    <x v="6"/>
    <x v="20"/>
    <x v="0"/>
    <x v="0"/>
    <x v="0"/>
    <x v="8"/>
    <x v="0"/>
    <x v="38"/>
  </r>
  <r>
    <x v="6"/>
    <x v="20"/>
    <x v="1"/>
    <x v="20"/>
    <x v="20"/>
    <x v="1"/>
    <x v="4"/>
    <x v="4"/>
  </r>
  <r>
    <x v="6"/>
    <x v="20"/>
    <x v="1"/>
    <x v="30"/>
    <x v="30"/>
    <x v="2"/>
    <x v="4"/>
    <x v="5"/>
  </r>
  <r>
    <x v="6"/>
    <x v="20"/>
    <x v="1"/>
    <x v="2"/>
    <x v="2"/>
    <x v="1"/>
    <x v="2"/>
    <x v="2"/>
  </r>
  <r>
    <x v="6"/>
    <x v="20"/>
    <x v="1"/>
    <x v="3"/>
    <x v="3"/>
    <x v="2"/>
    <x v="3"/>
    <x v="3"/>
  </r>
  <r>
    <x v="6"/>
    <x v="20"/>
    <x v="1"/>
    <x v="6"/>
    <x v="6"/>
    <x v="1"/>
    <x v="5"/>
    <x v="6"/>
  </r>
  <r>
    <x v="6"/>
    <x v="20"/>
    <x v="1"/>
    <x v="7"/>
    <x v="7"/>
    <x v="2"/>
    <x v="6"/>
    <x v="15"/>
  </r>
  <r>
    <x v="6"/>
    <x v="20"/>
    <x v="1"/>
    <x v="8"/>
    <x v="8"/>
    <x v="1"/>
    <x v="5"/>
    <x v="6"/>
  </r>
  <r>
    <x v="6"/>
    <x v="20"/>
    <x v="5"/>
    <x v="42"/>
    <x v="42"/>
    <x v="1"/>
    <x v="13"/>
    <x v="27"/>
  </r>
  <r>
    <x v="6"/>
    <x v="20"/>
    <x v="2"/>
    <x v="33"/>
    <x v="33"/>
    <x v="5"/>
    <x v="11"/>
    <x v="1"/>
  </r>
  <r>
    <x v="6"/>
    <x v="20"/>
    <x v="3"/>
    <x v="37"/>
    <x v="37"/>
    <x v="1"/>
    <x v="5"/>
    <x v="6"/>
  </r>
  <r>
    <x v="6"/>
    <x v="20"/>
    <x v="3"/>
    <x v="14"/>
    <x v="14"/>
    <x v="2"/>
    <x v="5"/>
    <x v="10"/>
  </r>
  <r>
    <x v="6"/>
    <x v="20"/>
    <x v="3"/>
    <x v="34"/>
    <x v="34"/>
    <x v="1"/>
    <x v="5"/>
    <x v="6"/>
  </r>
  <r>
    <x v="6"/>
    <x v="21"/>
    <x v="0"/>
    <x v="24"/>
    <x v="24"/>
    <x v="1"/>
    <x v="8"/>
    <x v="17"/>
  </r>
  <r>
    <x v="6"/>
    <x v="21"/>
    <x v="0"/>
    <x v="0"/>
    <x v="0"/>
    <x v="3"/>
    <x v="0"/>
    <x v="34"/>
  </r>
  <r>
    <x v="6"/>
    <x v="21"/>
    <x v="1"/>
    <x v="30"/>
    <x v="30"/>
    <x v="1"/>
    <x v="4"/>
    <x v="4"/>
  </r>
  <r>
    <x v="6"/>
    <x v="21"/>
    <x v="1"/>
    <x v="21"/>
    <x v="21"/>
    <x v="1"/>
    <x v="4"/>
    <x v="4"/>
  </r>
  <r>
    <x v="6"/>
    <x v="21"/>
    <x v="1"/>
    <x v="36"/>
    <x v="36"/>
    <x v="2"/>
    <x v="2"/>
    <x v="30"/>
  </r>
  <r>
    <x v="6"/>
    <x v="21"/>
    <x v="1"/>
    <x v="7"/>
    <x v="7"/>
    <x v="1"/>
    <x v="6"/>
    <x v="33"/>
  </r>
  <r>
    <x v="6"/>
    <x v="21"/>
    <x v="1"/>
    <x v="8"/>
    <x v="8"/>
    <x v="1"/>
    <x v="5"/>
    <x v="6"/>
  </r>
  <r>
    <x v="6"/>
    <x v="21"/>
    <x v="2"/>
    <x v="51"/>
    <x v="51"/>
    <x v="1"/>
    <x v="12"/>
    <x v="22"/>
  </r>
  <r>
    <x v="6"/>
    <x v="21"/>
    <x v="2"/>
    <x v="47"/>
    <x v="47"/>
    <x v="1"/>
    <x v="12"/>
    <x v="22"/>
  </r>
  <r>
    <x v="6"/>
    <x v="21"/>
    <x v="3"/>
    <x v="23"/>
    <x v="23"/>
    <x v="5"/>
    <x v="5"/>
    <x v="19"/>
  </r>
  <r>
    <x v="6"/>
    <x v="21"/>
    <x v="3"/>
    <x v="37"/>
    <x v="37"/>
    <x v="2"/>
    <x v="5"/>
    <x v="10"/>
  </r>
  <r>
    <x v="6"/>
    <x v="21"/>
    <x v="3"/>
    <x v="14"/>
    <x v="14"/>
    <x v="2"/>
    <x v="5"/>
    <x v="10"/>
  </r>
  <r>
    <x v="6"/>
    <x v="21"/>
    <x v="3"/>
    <x v="17"/>
    <x v="17"/>
    <x v="1"/>
    <x v="5"/>
    <x v="6"/>
  </r>
  <r>
    <x v="6"/>
    <x v="21"/>
    <x v="3"/>
    <x v="18"/>
    <x v="18"/>
    <x v="5"/>
    <x v="5"/>
    <x v="19"/>
  </r>
  <r>
    <x v="7"/>
    <x v="22"/>
    <x v="0"/>
    <x v="0"/>
    <x v="0"/>
    <x v="6"/>
    <x v="0"/>
    <x v="44"/>
  </r>
  <r>
    <x v="7"/>
    <x v="22"/>
    <x v="0"/>
    <x v="38"/>
    <x v="38"/>
    <x v="1"/>
    <x v="12"/>
    <x v="22"/>
  </r>
  <r>
    <x v="7"/>
    <x v="22"/>
    <x v="1"/>
    <x v="56"/>
    <x v="56"/>
    <x v="1"/>
    <x v="5"/>
    <x v="6"/>
  </r>
  <r>
    <x v="7"/>
    <x v="22"/>
    <x v="1"/>
    <x v="20"/>
    <x v="20"/>
    <x v="1"/>
    <x v="4"/>
    <x v="4"/>
  </r>
  <r>
    <x v="7"/>
    <x v="22"/>
    <x v="1"/>
    <x v="30"/>
    <x v="30"/>
    <x v="1"/>
    <x v="4"/>
    <x v="4"/>
  </r>
  <r>
    <x v="7"/>
    <x v="22"/>
    <x v="1"/>
    <x v="2"/>
    <x v="2"/>
    <x v="2"/>
    <x v="2"/>
    <x v="30"/>
  </r>
  <r>
    <x v="7"/>
    <x v="22"/>
    <x v="1"/>
    <x v="31"/>
    <x v="31"/>
    <x v="1"/>
    <x v="4"/>
    <x v="4"/>
  </r>
  <r>
    <x v="7"/>
    <x v="22"/>
    <x v="1"/>
    <x v="36"/>
    <x v="36"/>
    <x v="2"/>
    <x v="2"/>
    <x v="30"/>
  </r>
  <r>
    <x v="7"/>
    <x v="22"/>
    <x v="1"/>
    <x v="5"/>
    <x v="5"/>
    <x v="2"/>
    <x v="4"/>
    <x v="5"/>
  </r>
  <r>
    <x v="7"/>
    <x v="22"/>
    <x v="1"/>
    <x v="6"/>
    <x v="6"/>
    <x v="1"/>
    <x v="5"/>
    <x v="6"/>
  </r>
  <r>
    <x v="7"/>
    <x v="22"/>
    <x v="1"/>
    <x v="7"/>
    <x v="7"/>
    <x v="7"/>
    <x v="6"/>
    <x v="45"/>
  </r>
  <r>
    <x v="7"/>
    <x v="22"/>
    <x v="1"/>
    <x v="8"/>
    <x v="8"/>
    <x v="2"/>
    <x v="5"/>
    <x v="10"/>
  </r>
  <r>
    <x v="7"/>
    <x v="22"/>
    <x v="1"/>
    <x v="10"/>
    <x v="10"/>
    <x v="1"/>
    <x v="5"/>
    <x v="6"/>
  </r>
  <r>
    <x v="7"/>
    <x v="22"/>
    <x v="1"/>
    <x v="22"/>
    <x v="22"/>
    <x v="1"/>
    <x v="4"/>
    <x v="4"/>
  </r>
  <r>
    <x v="7"/>
    <x v="22"/>
    <x v="6"/>
    <x v="57"/>
    <x v="57"/>
    <x v="8"/>
    <x v="17"/>
    <x v="27"/>
  </r>
  <r>
    <x v="7"/>
    <x v="22"/>
    <x v="2"/>
    <x v="54"/>
    <x v="54"/>
    <x v="1"/>
    <x v="12"/>
    <x v="22"/>
  </r>
  <r>
    <x v="7"/>
    <x v="22"/>
    <x v="2"/>
    <x v="47"/>
    <x v="47"/>
    <x v="1"/>
    <x v="12"/>
    <x v="22"/>
  </r>
  <r>
    <x v="7"/>
    <x v="22"/>
    <x v="2"/>
    <x v="11"/>
    <x v="11"/>
    <x v="1"/>
    <x v="0"/>
    <x v="9"/>
  </r>
  <r>
    <x v="7"/>
    <x v="22"/>
    <x v="2"/>
    <x v="33"/>
    <x v="33"/>
    <x v="6"/>
    <x v="11"/>
    <x v="34"/>
  </r>
  <r>
    <x v="7"/>
    <x v="22"/>
    <x v="3"/>
    <x v="23"/>
    <x v="23"/>
    <x v="4"/>
    <x v="5"/>
    <x v="31"/>
  </r>
  <r>
    <x v="7"/>
    <x v="22"/>
    <x v="3"/>
    <x v="14"/>
    <x v="14"/>
    <x v="2"/>
    <x v="5"/>
    <x v="10"/>
  </r>
  <r>
    <x v="7"/>
    <x v="22"/>
    <x v="3"/>
    <x v="50"/>
    <x v="50"/>
    <x v="1"/>
    <x v="5"/>
    <x v="6"/>
  </r>
  <r>
    <x v="7"/>
    <x v="22"/>
    <x v="3"/>
    <x v="58"/>
    <x v="58"/>
    <x v="1"/>
    <x v="5"/>
    <x v="6"/>
  </r>
  <r>
    <x v="7"/>
    <x v="22"/>
    <x v="3"/>
    <x v="18"/>
    <x v="18"/>
    <x v="14"/>
    <x v="5"/>
    <x v="46"/>
  </r>
  <r>
    <x v="7"/>
    <x v="22"/>
    <x v="3"/>
    <x v="19"/>
    <x v="19"/>
    <x v="2"/>
    <x v="5"/>
    <x v="10"/>
  </r>
  <r>
    <x v="7"/>
    <x v="22"/>
    <x v="3"/>
    <x v="59"/>
    <x v="59"/>
    <x v="1"/>
    <x v="5"/>
    <x v="6"/>
  </r>
  <r>
    <x v="8"/>
    <x v="23"/>
    <x v="0"/>
    <x v="0"/>
    <x v="0"/>
    <x v="14"/>
    <x v="0"/>
    <x v="47"/>
  </r>
  <r>
    <x v="8"/>
    <x v="23"/>
    <x v="1"/>
    <x v="7"/>
    <x v="7"/>
    <x v="1"/>
    <x v="6"/>
    <x v="33"/>
  </r>
  <r>
    <x v="8"/>
    <x v="23"/>
    <x v="1"/>
    <x v="8"/>
    <x v="8"/>
    <x v="5"/>
    <x v="5"/>
    <x v="19"/>
  </r>
  <r>
    <x v="8"/>
    <x v="23"/>
    <x v="3"/>
    <x v="23"/>
    <x v="23"/>
    <x v="1"/>
    <x v="5"/>
    <x v="6"/>
  </r>
  <r>
    <x v="8"/>
    <x v="23"/>
    <x v="3"/>
    <x v="37"/>
    <x v="37"/>
    <x v="2"/>
    <x v="5"/>
    <x v="10"/>
  </r>
  <r>
    <x v="8"/>
    <x v="23"/>
    <x v="3"/>
    <x v="50"/>
    <x v="50"/>
    <x v="1"/>
    <x v="5"/>
    <x v="6"/>
  </r>
  <r>
    <x v="8"/>
    <x v="23"/>
    <x v="3"/>
    <x v="15"/>
    <x v="15"/>
    <x v="1"/>
    <x v="5"/>
    <x v="6"/>
  </r>
  <r>
    <x v="8"/>
    <x v="23"/>
    <x v="3"/>
    <x v="18"/>
    <x v="18"/>
    <x v="8"/>
    <x v="5"/>
    <x v="23"/>
  </r>
  <r>
    <x v="8"/>
    <x v="23"/>
    <x v="3"/>
    <x v="19"/>
    <x v="19"/>
    <x v="1"/>
    <x v="5"/>
    <x v="6"/>
  </r>
  <r>
    <x v="8"/>
    <x v="23"/>
    <x v="3"/>
    <x v="59"/>
    <x v="59"/>
    <x v="1"/>
    <x v="5"/>
    <x v="6"/>
  </r>
  <r>
    <x v="8"/>
    <x v="24"/>
    <x v="1"/>
    <x v="20"/>
    <x v="20"/>
    <x v="5"/>
    <x v="4"/>
    <x v="24"/>
  </r>
  <r>
    <x v="8"/>
    <x v="24"/>
    <x v="1"/>
    <x v="2"/>
    <x v="2"/>
    <x v="5"/>
    <x v="2"/>
    <x v="13"/>
  </r>
  <r>
    <x v="8"/>
    <x v="24"/>
    <x v="1"/>
    <x v="35"/>
    <x v="35"/>
    <x v="1"/>
    <x v="3"/>
    <x v="14"/>
  </r>
  <r>
    <x v="8"/>
    <x v="24"/>
    <x v="1"/>
    <x v="10"/>
    <x v="10"/>
    <x v="2"/>
    <x v="5"/>
    <x v="10"/>
  </r>
  <r>
    <x v="8"/>
    <x v="24"/>
    <x v="1"/>
    <x v="22"/>
    <x v="22"/>
    <x v="1"/>
    <x v="4"/>
    <x v="4"/>
  </r>
  <r>
    <x v="8"/>
    <x v="24"/>
    <x v="3"/>
    <x v="13"/>
    <x v="13"/>
    <x v="1"/>
    <x v="5"/>
    <x v="6"/>
  </r>
  <r>
    <x v="9"/>
    <x v="25"/>
    <x v="0"/>
    <x v="0"/>
    <x v="0"/>
    <x v="15"/>
    <x v="0"/>
    <x v="48"/>
  </r>
  <r>
    <x v="9"/>
    <x v="25"/>
    <x v="0"/>
    <x v="25"/>
    <x v="25"/>
    <x v="1"/>
    <x v="9"/>
    <x v="18"/>
  </r>
  <r>
    <x v="9"/>
    <x v="25"/>
    <x v="1"/>
    <x v="2"/>
    <x v="2"/>
    <x v="1"/>
    <x v="2"/>
    <x v="2"/>
  </r>
  <r>
    <x v="9"/>
    <x v="25"/>
    <x v="1"/>
    <x v="5"/>
    <x v="5"/>
    <x v="1"/>
    <x v="4"/>
    <x v="4"/>
  </r>
  <r>
    <x v="9"/>
    <x v="25"/>
    <x v="1"/>
    <x v="7"/>
    <x v="7"/>
    <x v="1"/>
    <x v="6"/>
    <x v="33"/>
  </r>
  <r>
    <x v="9"/>
    <x v="25"/>
    <x v="1"/>
    <x v="8"/>
    <x v="8"/>
    <x v="5"/>
    <x v="5"/>
    <x v="19"/>
  </r>
  <r>
    <x v="9"/>
    <x v="25"/>
    <x v="1"/>
    <x v="10"/>
    <x v="10"/>
    <x v="1"/>
    <x v="5"/>
    <x v="6"/>
  </r>
  <r>
    <x v="9"/>
    <x v="25"/>
    <x v="5"/>
    <x v="42"/>
    <x v="42"/>
    <x v="1"/>
    <x v="13"/>
    <x v="27"/>
  </r>
  <r>
    <x v="9"/>
    <x v="25"/>
    <x v="3"/>
    <x v="23"/>
    <x v="23"/>
    <x v="5"/>
    <x v="5"/>
    <x v="19"/>
  </r>
  <r>
    <x v="9"/>
    <x v="25"/>
    <x v="3"/>
    <x v="14"/>
    <x v="14"/>
    <x v="5"/>
    <x v="5"/>
    <x v="19"/>
  </r>
  <r>
    <x v="9"/>
    <x v="25"/>
    <x v="3"/>
    <x v="15"/>
    <x v="15"/>
    <x v="1"/>
    <x v="5"/>
    <x v="6"/>
  </r>
  <r>
    <x v="9"/>
    <x v="25"/>
    <x v="3"/>
    <x v="58"/>
    <x v="58"/>
    <x v="2"/>
    <x v="5"/>
    <x v="10"/>
  </r>
  <r>
    <x v="9"/>
    <x v="25"/>
    <x v="3"/>
    <x v="19"/>
    <x v="19"/>
    <x v="2"/>
    <x v="5"/>
    <x v="10"/>
  </r>
  <r>
    <x v="9"/>
    <x v="25"/>
    <x v="3"/>
    <x v="59"/>
    <x v="59"/>
    <x v="1"/>
    <x v="5"/>
    <x v="6"/>
  </r>
  <r>
    <x v="9"/>
    <x v="26"/>
    <x v="3"/>
    <x v="18"/>
    <x v="18"/>
    <x v="2"/>
    <x v="5"/>
    <x v="10"/>
  </r>
  <r>
    <x v="9"/>
    <x v="27"/>
    <x v="0"/>
    <x v="1"/>
    <x v="1"/>
    <x v="1"/>
    <x v="1"/>
    <x v="1"/>
  </r>
  <r>
    <x v="9"/>
    <x v="27"/>
    <x v="4"/>
    <x v="27"/>
    <x v="27"/>
    <x v="1"/>
    <x v="10"/>
    <x v="28"/>
  </r>
  <r>
    <x v="9"/>
    <x v="27"/>
    <x v="1"/>
    <x v="7"/>
    <x v="7"/>
    <x v="1"/>
    <x v="6"/>
    <x v="33"/>
  </r>
  <r>
    <x v="9"/>
    <x v="27"/>
    <x v="3"/>
    <x v="17"/>
    <x v="17"/>
    <x v="1"/>
    <x v="5"/>
    <x v="6"/>
  </r>
  <r>
    <x v="9"/>
    <x v="28"/>
    <x v="0"/>
    <x v="0"/>
    <x v="0"/>
    <x v="2"/>
    <x v="0"/>
    <x v="49"/>
  </r>
  <r>
    <x v="9"/>
    <x v="28"/>
    <x v="4"/>
    <x v="27"/>
    <x v="27"/>
    <x v="1"/>
    <x v="10"/>
    <x v="28"/>
  </r>
  <r>
    <x v="9"/>
    <x v="28"/>
    <x v="3"/>
    <x v="14"/>
    <x v="14"/>
    <x v="2"/>
    <x v="5"/>
    <x v="10"/>
  </r>
  <r>
    <x v="9"/>
    <x v="29"/>
    <x v="0"/>
    <x v="24"/>
    <x v="24"/>
    <x v="1"/>
    <x v="8"/>
    <x v="17"/>
  </r>
  <r>
    <x v="9"/>
    <x v="29"/>
    <x v="0"/>
    <x v="0"/>
    <x v="0"/>
    <x v="1"/>
    <x v="0"/>
    <x v="9"/>
  </r>
  <r>
    <x v="9"/>
    <x v="29"/>
    <x v="0"/>
    <x v="60"/>
    <x v="60"/>
    <x v="1"/>
    <x v="18"/>
    <x v="50"/>
  </r>
  <r>
    <x v="9"/>
    <x v="29"/>
    <x v="1"/>
    <x v="29"/>
    <x v="29"/>
    <x v="1"/>
    <x v="4"/>
    <x v="4"/>
  </r>
  <r>
    <x v="9"/>
    <x v="29"/>
    <x v="1"/>
    <x v="3"/>
    <x v="3"/>
    <x v="1"/>
    <x v="3"/>
    <x v="14"/>
  </r>
  <r>
    <x v="9"/>
    <x v="29"/>
    <x v="2"/>
    <x v="11"/>
    <x v="11"/>
    <x v="1"/>
    <x v="0"/>
    <x v="9"/>
  </r>
  <r>
    <x v="9"/>
    <x v="29"/>
    <x v="3"/>
    <x v="23"/>
    <x v="23"/>
    <x v="1"/>
    <x v="5"/>
    <x v="6"/>
  </r>
  <r>
    <x v="9"/>
    <x v="29"/>
    <x v="3"/>
    <x v="14"/>
    <x v="14"/>
    <x v="1"/>
    <x v="5"/>
    <x v="6"/>
  </r>
  <r>
    <x v="10"/>
    <x v="30"/>
    <x v="0"/>
    <x v="0"/>
    <x v="0"/>
    <x v="6"/>
    <x v="0"/>
    <x v="44"/>
  </r>
  <r>
    <x v="10"/>
    <x v="30"/>
    <x v="0"/>
    <x v="38"/>
    <x v="38"/>
    <x v="1"/>
    <x v="12"/>
    <x v="22"/>
  </r>
  <r>
    <x v="10"/>
    <x v="30"/>
    <x v="0"/>
    <x v="25"/>
    <x v="25"/>
    <x v="1"/>
    <x v="9"/>
    <x v="18"/>
  </r>
  <r>
    <x v="10"/>
    <x v="30"/>
    <x v="1"/>
    <x v="2"/>
    <x v="2"/>
    <x v="1"/>
    <x v="2"/>
    <x v="2"/>
  </r>
  <r>
    <x v="10"/>
    <x v="30"/>
    <x v="1"/>
    <x v="7"/>
    <x v="7"/>
    <x v="5"/>
    <x v="6"/>
    <x v="43"/>
  </r>
  <r>
    <x v="10"/>
    <x v="30"/>
    <x v="1"/>
    <x v="9"/>
    <x v="9"/>
    <x v="1"/>
    <x v="7"/>
    <x v="3"/>
  </r>
  <r>
    <x v="10"/>
    <x v="30"/>
    <x v="5"/>
    <x v="42"/>
    <x v="42"/>
    <x v="1"/>
    <x v="13"/>
    <x v="27"/>
  </r>
  <r>
    <x v="10"/>
    <x v="30"/>
    <x v="2"/>
    <x v="47"/>
    <x v="47"/>
    <x v="1"/>
    <x v="12"/>
    <x v="22"/>
  </r>
  <r>
    <x v="10"/>
    <x v="30"/>
    <x v="3"/>
    <x v="23"/>
    <x v="23"/>
    <x v="7"/>
    <x v="5"/>
    <x v="22"/>
  </r>
  <r>
    <x v="10"/>
    <x v="30"/>
    <x v="3"/>
    <x v="50"/>
    <x v="50"/>
    <x v="1"/>
    <x v="5"/>
    <x v="6"/>
  </r>
  <r>
    <x v="10"/>
    <x v="30"/>
    <x v="3"/>
    <x v="15"/>
    <x v="15"/>
    <x v="1"/>
    <x v="5"/>
    <x v="6"/>
  </r>
  <r>
    <x v="10"/>
    <x v="30"/>
    <x v="3"/>
    <x v="58"/>
    <x v="58"/>
    <x v="1"/>
    <x v="5"/>
    <x v="6"/>
  </r>
  <r>
    <x v="10"/>
    <x v="30"/>
    <x v="3"/>
    <x v="19"/>
    <x v="19"/>
    <x v="1"/>
    <x v="5"/>
    <x v="6"/>
  </r>
  <r>
    <x v="10"/>
    <x v="30"/>
    <x v="3"/>
    <x v="59"/>
    <x v="59"/>
    <x v="1"/>
    <x v="5"/>
    <x v="6"/>
  </r>
  <r>
    <x v="10"/>
    <x v="31"/>
    <x v="0"/>
    <x v="0"/>
    <x v="0"/>
    <x v="7"/>
    <x v="0"/>
    <x v="20"/>
  </r>
  <r>
    <x v="10"/>
    <x v="31"/>
    <x v="0"/>
    <x v="44"/>
    <x v="44"/>
    <x v="1"/>
    <x v="14"/>
    <x v="32"/>
  </r>
  <r>
    <x v="10"/>
    <x v="31"/>
    <x v="0"/>
    <x v="1"/>
    <x v="1"/>
    <x v="1"/>
    <x v="1"/>
    <x v="1"/>
  </r>
  <r>
    <x v="10"/>
    <x v="31"/>
    <x v="1"/>
    <x v="2"/>
    <x v="2"/>
    <x v="1"/>
    <x v="2"/>
    <x v="2"/>
  </r>
  <r>
    <x v="10"/>
    <x v="31"/>
    <x v="1"/>
    <x v="3"/>
    <x v="3"/>
    <x v="1"/>
    <x v="3"/>
    <x v="14"/>
  </r>
  <r>
    <x v="10"/>
    <x v="31"/>
    <x v="1"/>
    <x v="4"/>
    <x v="4"/>
    <x v="1"/>
    <x v="4"/>
    <x v="4"/>
  </r>
  <r>
    <x v="10"/>
    <x v="31"/>
    <x v="1"/>
    <x v="61"/>
    <x v="61"/>
    <x v="2"/>
    <x v="3"/>
    <x v="3"/>
  </r>
  <r>
    <x v="10"/>
    <x v="31"/>
    <x v="1"/>
    <x v="7"/>
    <x v="7"/>
    <x v="5"/>
    <x v="6"/>
    <x v="43"/>
  </r>
  <r>
    <x v="10"/>
    <x v="31"/>
    <x v="2"/>
    <x v="33"/>
    <x v="33"/>
    <x v="1"/>
    <x v="11"/>
    <x v="29"/>
  </r>
  <r>
    <x v="10"/>
    <x v="31"/>
    <x v="3"/>
    <x v="14"/>
    <x v="14"/>
    <x v="5"/>
    <x v="5"/>
    <x v="19"/>
  </r>
  <r>
    <x v="10"/>
    <x v="31"/>
    <x v="3"/>
    <x v="17"/>
    <x v="17"/>
    <x v="1"/>
    <x v="5"/>
    <x v="6"/>
  </r>
  <r>
    <x v="10"/>
    <x v="32"/>
    <x v="0"/>
    <x v="0"/>
    <x v="0"/>
    <x v="7"/>
    <x v="0"/>
    <x v="20"/>
  </r>
  <r>
    <x v="10"/>
    <x v="32"/>
    <x v="4"/>
    <x v="27"/>
    <x v="27"/>
    <x v="1"/>
    <x v="10"/>
    <x v="28"/>
  </r>
  <r>
    <x v="10"/>
    <x v="32"/>
    <x v="1"/>
    <x v="28"/>
    <x v="28"/>
    <x v="1"/>
    <x v="4"/>
    <x v="4"/>
  </r>
  <r>
    <x v="10"/>
    <x v="32"/>
    <x v="1"/>
    <x v="30"/>
    <x v="30"/>
    <x v="1"/>
    <x v="4"/>
    <x v="4"/>
  </r>
  <r>
    <x v="10"/>
    <x v="32"/>
    <x v="1"/>
    <x v="7"/>
    <x v="7"/>
    <x v="1"/>
    <x v="6"/>
    <x v="33"/>
  </r>
  <r>
    <x v="10"/>
    <x v="32"/>
    <x v="1"/>
    <x v="9"/>
    <x v="9"/>
    <x v="1"/>
    <x v="7"/>
    <x v="3"/>
  </r>
  <r>
    <x v="10"/>
    <x v="32"/>
    <x v="2"/>
    <x v="33"/>
    <x v="33"/>
    <x v="2"/>
    <x v="11"/>
    <x v="42"/>
  </r>
  <r>
    <x v="10"/>
    <x v="32"/>
    <x v="3"/>
    <x v="23"/>
    <x v="23"/>
    <x v="2"/>
    <x v="5"/>
    <x v="10"/>
  </r>
  <r>
    <x v="10"/>
    <x v="32"/>
    <x v="3"/>
    <x v="13"/>
    <x v="13"/>
    <x v="1"/>
    <x v="5"/>
    <x v="6"/>
  </r>
  <r>
    <x v="10"/>
    <x v="32"/>
    <x v="3"/>
    <x v="26"/>
    <x v="26"/>
    <x v="1"/>
    <x v="5"/>
    <x v="6"/>
  </r>
  <r>
    <x v="10"/>
    <x v="32"/>
    <x v="3"/>
    <x v="14"/>
    <x v="14"/>
    <x v="5"/>
    <x v="5"/>
    <x v="19"/>
  </r>
  <r>
    <x v="10"/>
    <x v="32"/>
    <x v="3"/>
    <x v="58"/>
    <x v="58"/>
    <x v="1"/>
    <x v="5"/>
    <x v="6"/>
  </r>
  <r>
    <x v="10"/>
    <x v="32"/>
    <x v="3"/>
    <x v="19"/>
    <x v="19"/>
    <x v="1"/>
    <x v="5"/>
    <x v="6"/>
  </r>
  <r>
    <x v="11"/>
    <x v="33"/>
    <x v="0"/>
    <x v="0"/>
    <x v="0"/>
    <x v="9"/>
    <x v="0"/>
    <x v="26"/>
  </r>
  <r>
    <x v="11"/>
    <x v="33"/>
    <x v="0"/>
    <x v="25"/>
    <x v="25"/>
    <x v="2"/>
    <x v="9"/>
    <x v="51"/>
  </r>
  <r>
    <x v="11"/>
    <x v="33"/>
    <x v="1"/>
    <x v="2"/>
    <x v="2"/>
    <x v="1"/>
    <x v="2"/>
    <x v="2"/>
  </r>
  <r>
    <x v="11"/>
    <x v="33"/>
    <x v="1"/>
    <x v="4"/>
    <x v="4"/>
    <x v="1"/>
    <x v="4"/>
    <x v="4"/>
  </r>
  <r>
    <x v="11"/>
    <x v="33"/>
    <x v="1"/>
    <x v="7"/>
    <x v="7"/>
    <x v="8"/>
    <x v="6"/>
    <x v="36"/>
  </r>
  <r>
    <x v="11"/>
    <x v="33"/>
    <x v="1"/>
    <x v="8"/>
    <x v="8"/>
    <x v="2"/>
    <x v="5"/>
    <x v="10"/>
  </r>
  <r>
    <x v="11"/>
    <x v="33"/>
    <x v="1"/>
    <x v="9"/>
    <x v="9"/>
    <x v="1"/>
    <x v="7"/>
    <x v="3"/>
  </r>
  <r>
    <x v="11"/>
    <x v="33"/>
    <x v="1"/>
    <x v="22"/>
    <x v="22"/>
    <x v="1"/>
    <x v="4"/>
    <x v="4"/>
  </r>
  <r>
    <x v="11"/>
    <x v="33"/>
    <x v="5"/>
    <x v="42"/>
    <x v="42"/>
    <x v="1"/>
    <x v="13"/>
    <x v="27"/>
  </r>
  <r>
    <x v="11"/>
    <x v="33"/>
    <x v="6"/>
    <x v="57"/>
    <x v="57"/>
    <x v="2"/>
    <x v="17"/>
    <x v="52"/>
  </r>
  <r>
    <x v="11"/>
    <x v="33"/>
    <x v="2"/>
    <x v="51"/>
    <x v="51"/>
    <x v="1"/>
    <x v="12"/>
    <x v="22"/>
  </r>
  <r>
    <x v="11"/>
    <x v="33"/>
    <x v="2"/>
    <x v="33"/>
    <x v="33"/>
    <x v="8"/>
    <x v="11"/>
    <x v="53"/>
  </r>
  <r>
    <x v="11"/>
    <x v="33"/>
    <x v="3"/>
    <x v="23"/>
    <x v="23"/>
    <x v="8"/>
    <x v="5"/>
    <x v="23"/>
  </r>
  <r>
    <x v="11"/>
    <x v="33"/>
    <x v="3"/>
    <x v="26"/>
    <x v="26"/>
    <x v="2"/>
    <x v="5"/>
    <x v="10"/>
  </r>
  <r>
    <x v="11"/>
    <x v="33"/>
    <x v="3"/>
    <x v="14"/>
    <x v="14"/>
    <x v="1"/>
    <x v="5"/>
    <x v="6"/>
  </r>
  <r>
    <x v="11"/>
    <x v="33"/>
    <x v="3"/>
    <x v="58"/>
    <x v="58"/>
    <x v="1"/>
    <x v="5"/>
    <x v="6"/>
  </r>
  <r>
    <x v="11"/>
    <x v="33"/>
    <x v="3"/>
    <x v="16"/>
    <x v="16"/>
    <x v="1"/>
    <x v="5"/>
    <x v="6"/>
  </r>
  <r>
    <x v="11"/>
    <x v="33"/>
    <x v="3"/>
    <x v="18"/>
    <x v="18"/>
    <x v="1"/>
    <x v="5"/>
    <x v="6"/>
  </r>
  <r>
    <x v="11"/>
    <x v="34"/>
    <x v="0"/>
    <x v="0"/>
    <x v="0"/>
    <x v="5"/>
    <x v="0"/>
    <x v="17"/>
  </r>
  <r>
    <x v="11"/>
    <x v="34"/>
    <x v="0"/>
    <x v="1"/>
    <x v="1"/>
    <x v="1"/>
    <x v="1"/>
    <x v="1"/>
  </r>
  <r>
    <x v="11"/>
    <x v="34"/>
    <x v="4"/>
    <x v="27"/>
    <x v="27"/>
    <x v="2"/>
    <x v="10"/>
    <x v="21"/>
  </r>
  <r>
    <x v="11"/>
    <x v="34"/>
    <x v="1"/>
    <x v="28"/>
    <x v="28"/>
    <x v="1"/>
    <x v="4"/>
    <x v="4"/>
  </r>
  <r>
    <x v="11"/>
    <x v="34"/>
    <x v="1"/>
    <x v="20"/>
    <x v="20"/>
    <x v="1"/>
    <x v="4"/>
    <x v="4"/>
  </r>
  <r>
    <x v="11"/>
    <x v="34"/>
    <x v="1"/>
    <x v="2"/>
    <x v="2"/>
    <x v="1"/>
    <x v="2"/>
    <x v="2"/>
  </r>
  <r>
    <x v="11"/>
    <x v="34"/>
    <x v="1"/>
    <x v="3"/>
    <x v="3"/>
    <x v="2"/>
    <x v="3"/>
    <x v="3"/>
  </r>
  <r>
    <x v="11"/>
    <x v="34"/>
    <x v="1"/>
    <x v="5"/>
    <x v="5"/>
    <x v="1"/>
    <x v="4"/>
    <x v="4"/>
  </r>
  <r>
    <x v="11"/>
    <x v="34"/>
    <x v="1"/>
    <x v="52"/>
    <x v="52"/>
    <x v="1"/>
    <x v="7"/>
    <x v="3"/>
  </r>
  <r>
    <x v="11"/>
    <x v="34"/>
    <x v="1"/>
    <x v="9"/>
    <x v="9"/>
    <x v="1"/>
    <x v="7"/>
    <x v="3"/>
  </r>
  <r>
    <x v="11"/>
    <x v="34"/>
    <x v="1"/>
    <x v="10"/>
    <x v="10"/>
    <x v="1"/>
    <x v="5"/>
    <x v="6"/>
  </r>
  <r>
    <x v="11"/>
    <x v="34"/>
    <x v="3"/>
    <x v="23"/>
    <x v="23"/>
    <x v="1"/>
    <x v="5"/>
    <x v="6"/>
  </r>
  <r>
    <x v="11"/>
    <x v="34"/>
    <x v="3"/>
    <x v="13"/>
    <x v="13"/>
    <x v="1"/>
    <x v="5"/>
    <x v="6"/>
  </r>
  <r>
    <x v="11"/>
    <x v="34"/>
    <x v="3"/>
    <x v="14"/>
    <x v="14"/>
    <x v="2"/>
    <x v="5"/>
    <x v="10"/>
  </r>
  <r>
    <x v="11"/>
    <x v="34"/>
    <x v="3"/>
    <x v="58"/>
    <x v="58"/>
    <x v="2"/>
    <x v="5"/>
    <x v="10"/>
  </r>
  <r>
    <x v="11"/>
    <x v="34"/>
    <x v="3"/>
    <x v="43"/>
    <x v="43"/>
    <x v="1"/>
    <x v="5"/>
    <x v="6"/>
  </r>
  <r>
    <x v="11"/>
    <x v="35"/>
    <x v="0"/>
    <x v="24"/>
    <x v="24"/>
    <x v="1"/>
    <x v="8"/>
    <x v="17"/>
  </r>
  <r>
    <x v="11"/>
    <x v="35"/>
    <x v="0"/>
    <x v="0"/>
    <x v="0"/>
    <x v="8"/>
    <x v="0"/>
    <x v="38"/>
  </r>
  <r>
    <x v="11"/>
    <x v="35"/>
    <x v="0"/>
    <x v="38"/>
    <x v="38"/>
    <x v="1"/>
    <x v="12"/>
    <x v="22"/>
  </r>
  <r>
    <x v="11"/>
    <x v="35"/>
    <x v="0"/>
    <x v="39"/>
    <x v="39"/>
    <x v="1"/>
    <x v="5"/>
    <x v="6"/>
  </r>
  <r>
    <x v="11"/>
    <x v="35"/>
    <x v="0"/>
    <x v="40"/>
    <x v="40"/>
    <x v="1"/>
    <x v="5"/>
    <x v="6"/>
  </r>
  <r>
    <x v="11"/>
    <x v="35"/>
    <x v="1"/>
    <x v="28"/>
    <x v="28"/>
    <x v="1"/>
    <x v="4"/>
    <x v="4"/>
  </r>
  <r>
    <x v="11"/>
    <x v="35"/>
    <x v="1"/>
    <x v="29"/>
    <x v="29"/>
    <x v="1"/>
    <x v="4"/>
    <x v="4"/>
  </r>
  <r>
    <x v="11"/>
    <x v="35"/>
    <x v="1"/>
    <x v="30"/>
    <x v="30"/>
    <x v="1"/>
    <x v="4"/>
    <x v="4"/>
  </r>
  <r>
    <x v="11"/>
    <x v="35"/>
    <x v="1"/>
    <x v="2"/>
    <x v="2"/>
    <x v="1"/>
    <x v="2"/>
    <x v="2"/>
  </r>
  <r>
    <x v="11"/>
    <x v="35"/>
    <x v="1"/>
    <x v="21"/>
    <x v="21"/>
    <x v="1"/>
    <x v="4"/>
    <x v="4"/>
  </r>
  <r>
    <x v="11"/>
    <x v="35"/>
    <x v="1"/>
    <x v="36"/>
    <x v="36"/>
    <x v="1"/>
    <x v="2"/>
    <x v="2"/>
  </r>
  <r>
    <x v="11"/>
    <x v="35"/>
    <x v="1"/>
    <x v="6"/>
    <x v="6"/>
    <x v="1"/>
    <x v="5"/>
    <x v="6"/>
  </r>
  <r>
    <x v="11"/>
    <x v="35"/>
    <x v="1"/>
    <x v="7"/>
    <x v="7"/>
    <x v="1"/>
    <x v="6"/>
    <x v="33"/>
  </r>
  <r>
    <x v="11"/>
    <x v="35"/>
    <x v="1"/>
    <x v="8"/>
    <x v="8"/>
    <x v="2"/>
    <x v="5"/>
    <x v="10"/>
  </r>
  <r>
    <x v="11"/>
    <x v="35"/>
    <x v="1"/>
    <x v="9"/>
    <x v="9"/>
    <x v="1"/>
    <x v="7"/>
    <x v="3"/>
  </r>
  <r>
    <x v="11"/>
    <x v="35"/>
    <x v="2"/>
    <x v="54"/>
    <x v="54"/>
    <x v="1"/>
    <x v="12"/>
    <x v="22"/>
  </r>
  <r>
    <x v="11"/>
    <x v="35"/>
    <x v="2"/>
    <x v="47"/>
    <x v="47"/>
    <x v="1"/>
    <x v="12"/>
    <x v="22"/>
  </r>
  <r>
    <x v="11"/>
    <x v="35"/>
    <x v="2"/>
    <x v="11"/>
    <x v="11"/>
    <x v="1"/>
    <x v="0"/>
    <x v="9"/>
  </r>
  <r>
    <x v="11"/>
    <x v="35"/>
    <x v="3"/>
    <x v="23"/>
    <x v="23"/>
    <x v="5"/>
    <x v="5"/>
    <x v="19"/>
  </r>
  <r>
    <x v="11"/>
    <x v="35"/>
    <x v="3"/>
    <x v="26"/>
    <x v="26"/>
    <x v="1"/>
    <x v="5"/>
    <x v="6"/>
  </r>
  <r>
    <x v="11"/>
    <x v="35"/>
    <x v="3"/>
    <x v="14"/>
    <x v="14"/>
    <x v="1"/>
    <x v="5"/>
    <x v="6"/>
  </r>
  <r>
    <x v="12"/>
    <x v="36"/>
    <x v="0"/>
    <x v="0"/>
    <x v="0"/>
    <x v="6"/>
    <x v="0"/>
    <x v="44"/>
  </r>
  <r>
    <x v="12"/>
    <x v="36"/>
    <x v="1"/>
    <x v="2"/>
    <x v="2"/>
    <x v="1"/>
    <x v="2"/>
    <x v="2"/>
  </r>
  <r>
    <x v="12"/>
    <x v="36"/>
    <x v="1"/>
    <x v="7"/>
    <x v="7"/>
    <x v="3"/>
    <x v="6"/>
    <x v="7"/>
  </r>
  <r>
    <x v="12"/>
    <x v="36"/>
    <x v="5"/>
    <x v="42"/>
    <x v="42"/>
    <x v="1"/>
    <x v="13"/>
    <x v="27"/>
  </r>
  <r>
    <x v="12"/>
    <x v="36"/>
    <x v="2"/>
    <x v="47"/>
    <x v="47"/>
    <x v="1"/>
    <x v="12"/>
    <x v="22"/>
  </r>
  <r>
    <x v="12"/>
    <x v="36"/>
    <x v="2"/>
    <x v="33"/>
    <x v="33"/>
    <x v="1"/>
    <x v="11"/>
    <x v="29"/>
  </r>
  <r>
    <x v="12"/>
    <x v="36"/>
    <x v="3"/>
    <x v="23"/>
    <x v="23"/>
    <x v="3"/>
    <x v="5"/>
    <x v="11"/>
  </r>
  <r>
    <x v="12"/>
    <x v="36"/>
    <x v="3"/>
    <x v="14"/>
    <x v="14"/>
    <x v="1"/>
    <x v="5"/>
    <x v="6"/>
  </r>
  <r>
    <x v="12"/>
    <x v="36"/>
    <x v="3"/>
    <x v="58"/>
    <x v="58"/>
    <x v="1"/>
    <x v="5"/>
    <x v="6"/>
  </r>
  <r>
    <x v="12"/>
    <x v="36"/>
    <x v="3"/>
    <x v="17"/>
    <x v="17"/>
    <x v="1"/>
    <x v="5"/>
    <x v="6"/>
  </r>
  <r>
    <x v="12"/>
    <x v="36"/>
    <x v="3"/>
    <x v="19"/>
    <x v="19"/>
    <x v="1"/>
    <x v="5"/>
    <x v="6"/>
  </r>
  <r>
    <x v="12"/>
    <x v="37"/>
    <x v="0"/>
    <x v="0"/>
    <x v="0"/>
    <x v="3"/>
    <x v="0"/>
    <x v="34"/>
  </r>
  <r>
    <x v="12"/>
    <x v="37"/>
    <x v="0"/>
    <x v="44"/>
    <x v="44"/>
    <x v="1"/>
    <x v="14"/>
    <x v="32"/>
  </r>
  <r>
    <x v="12"/>
    <x v="37"/>
    <x v="4"/>
    <x v="27"/>
    <x v="27"/>
    <x v="1"/>
    <x v="10"/>
    <x v="28"/>
  </r>
  <r>
    <x v="12"/>
    <x v="37"/>
    <x v="1"/>
    <x v="30"/>
    <x v="30"/>
    <x v="2"/>
    <x v="4"/>
    <x v="5"/>
  </r>
  <r>
    <x v="12"/>
    <x v="37"/>
    <x v="1"/>
    <x v="2"/>
    <x v="2"/>
    <x v="2"/>
    <x v="2"/>
    <x v="30"/>
  </r>
  <r>
    <x v="12"/>
    <x v="37"/>
    <x v="1"/>
    <x v="36"/>
    <x v="36"/>
    <x v="1"/>
    <x v="2"/>
    <x v="2"/>
  </r>
  <r>
    <x v="12"/>
    <x v="37"/>
    <x v="1"/>
    <x v="5"/>
    <x v="5"/>
    <x v="2"/>
    <x v="4"/>
    <x v="5"/>
  </r>
  <r>
    <x v="12"/>
    <x v="37"/>
    <x v="1"/>
    <x v="7"/>
    <x v="7"/>
    <x v="2"/>
    <x v="6"/>
    <x v="15"/>
  </r>
  <r>
    <x v="12"/>
    <x v="37"/>
    <x v="1"/>
    <x v="8"/>
    <x v="8"/>
    <x v="1"/>
    <x v="5"/>
    <x v="6"/>
  </r>
  <r>
    <x v="12"/>
    <x v="37"/>
    <x v="3"/>
    <x v="23"/>
    <x v="23"/>
    <x v="1"/>
    <x v="5"/>
    <x v="6"/>
  </r>
  <r>
    <x v="12"/>
    <x v="37"/>
    <x v="3"/>
    <x v="13"/>
    <x v="13"/>
    <x v="1"/>
    <x v="5"/>
    <x v="6"/>
  </r>
  <r>
    <x v="12"/>
    <x v="37"/>
    <x v="3"/>
    <x v="14"/>
    <x v="14"/>
    <x v="7"/>
    <x v="5"/>
    <x v="22"/>
  </r>
  <r>
    <x v="12"/>
    <x v="37"/>
    <x v="3"/>
    <x v="62"/>
    <x v="62"/>
    <x v="1"/>
    <x v="5"/>
    <x v="6"/>
  </r>
  <r>
    <x v="12"/>
    <x v="38"/>
    <x v="0"/>
    <x v="24"/>
    <x v="24"/>
    <x v="1"/>
    <x v="8"/>
    <x v="17"/>
  </r>
  <r>
    <x v="12"/>
    <x v="38"/>
    <x v="0"/>
    <x v="0"/>
    <x v="0"/>
    <x v="5"/>
    <x v="0"/>
    <x v="17"/>
  </r>
  <r>
    <x v="12"/>
    <x v="38"/>
    <x v="0"/>
    <x v="25"/>
    <x v="25"/>
    <x v="1"/>
    <x v="9"/>
    <x v="18"/>
  </r>
  <r>
    <x v="12"/>
    <x v="38"/>
    <x v="1"/>
    <x v="4"/>
    <x v="4"/>
    <x v="2"/>
    <x v="4"/>
    <x v="5"/>
  </r>
  <r>
    <x v="12"/>
    <x v="38"/>
    <x v="1"/>
    <x v="6"/>
    <x v="6"/>
    <x v="1"/>
    <x v="5"/>
    <x v="6"/>
  </r>
  <r>
    <x v="12"/>
    <x v="38"/>
    <x v="1"/>
    <x v="63"/>
    <x v="63"/>
    <x v="1"/>
    <x v="6"/>
    <x v="33"/>
  </r>
  <r>
    <x v="12"/>
    <x v="38"/>
    <x v="1"/>
    <x v="7"/>
    <x v="7"/>
    <x v="1"/>
    <x v="6"/>
    <x v="33"/>
  </r>
  <r>
    <x v="12"/>
    <x v="38"/>
    <x v="1"/>
    <x v="8"/>
    <x v="8"/>
    <x v="1"/>
    <x v="5"/>
    <x v="6"/>
  </r>
  <r>
    <x v="12"/>
    <x v="38"/>
    <x v="3"/>
    <x v="26"/>
    <x v="26"/>
    <x v="1"/>
    <x v="5"/>
    <x v="6"/>
  </r>
  <r>
    <x v="12"/>
    <x v="38"/>
    <x v="3"/>
    <x v="14"/>
    <x v="14"/>
    <x v="1"/>
    <x v="5"/>
    <x v="6"/>
  </r>
  <r>
    <x v="12"/>
    <x v="38"/>
    <x v="3"/>
    <x v="15"/>
    <x v="15"/>
    <x v="1"/>
    <x v="5"/>
    <x v="6"/>
  </r>
  <r>
    <x v="13"/>
    <x v="39"/>
    <x v="0"/>
    <x v="0"/>
    <x v="0"/>
    <x v="14"/>
    <x v="0"/>
    <x v="47"/>
  </r>
  <r>
    <x v="13"/>
    <x v="39"/>
    <x v="0"/>
    <x v="38"/>
    <x v="38"/>
    <x v="1"/>
    <x v="12"/>
    <x v="22"/>
  </r>
  <r>
    <x v="13"/>
    <x v="39"/>
    <x v="1"/>
    <x v="20"/>
    <x v="20"/>
    <x v="1"/>
    <x v="4"/>
    <x v="4"/>
  </r>
  <r>
    <x v="13"/>
    <x v="39"/>
    <x v="1"/>
    <x v="30"/>
    <x v="30"/>
    <x v="2"/>
    <x v="4"/>
    <x v="5"/>
  </r>
  <r>
    <x v="13"/>
    <x v="39"/>
    <x v="1"/>
    <x v="2"/>
    <x v="2"/>
    <x v="1"/>
    <x v="2"/>
    <x v="2"/>
  </r>
  <r>
    <x v="13"/>
    <x v="39"/>
    <x v="1"/>
    <x v="4"/>
    <x v="4"/>
    <x v="1"/>
    <x v="4"/>
    <x v="4"/>
  </r>
  <r>
    <x v="13"/>
    <x v="39"/>
    <x v="1"/>
    <x v="7"/>
    <x v="7"/>
    <x v="3"/>
    <x v="6"/>
    <x v="7"/>
  </r>
  <r>
    <x v="13"/>
    <x v="39"/>
    <x v="1"/>
    <x v="8"/>
    <x v="8"/>
    <x v="2"/>
    <x v="5"/>
    <x v="10"/>
  </r>
  <r>
    <x v="13"/>
    <x v="39"/>
    <x v="1"/>
    <x v="9"/>
    <x v="9"/>
    <x v="1"/>
    <x v="7"/>
    <x v="3"/>
  </r>
  <r>
    <x v="13"/>
    <x v="39"/>
    <x v="6"/>
    <x v="57"/>
    <x v="57"/>
    <x v="8"/>
    <x v="17"/>
    <x v="27"/>
  </r>
  <r>
    <x v="13"/>
    <x v="39"/>
    <x v="2"/>
    <x v="11"/>
    <x v="11"/>
    <x v="1"/>
    <x v="0"/>
    <x v="9"/>
  </r>
  <r>
    <x v="13"/>
    <x v="39"/>
    <x v="3"/>
    <x v="23"/>
    <x v="23"/>
    <x v="4"/>
    <x v="5"/>
    <x v="31"/>
  </r>
  <r>
    <x v="13"/>
    <x v="39"/>
    <x v="3"/>
    <x v="13"/>
    <x v="13"/>
    <x v="1"/>
    <x v="5"/>
    <x v="6"/>
  </r>
  <r>
    <x v="13"/>
    <x v="39"/>
    <x v="3"/>
    <x v="26"/>
    <x v="26"/>
    <x v="1"/>
    <x v="5"/>
    <x v="6"/>
  </r>
  <r>
    <x v="13"/>
    <x v="39"/>
    <x v="3"/>
    <x v="50"/>
    <x v="50"/>
    <x v="1"/>
    <x v="5"/>
    <x v="6"/>
  </r>
  <r>
    <x v="13"/>
    <x v="39"/>
    <x v="3"/>
    <x v="15"/>
    <x v="15"/>
    <x v="1"/>
    <x v="5"/>
    <x v="6"/>
  </r>
  <r>
    <x v="13"/>
    <x v="39"/>
    <x v="3"/>
    <x v="58"/>
    <x v="58"/>
    <x v="5"/>
    <x v="5"/>
    <x v="19"/>
  </r>
  <r>
    <x v="13"/>
    <x v="39"/>
    <x v="3"/>
    <x v="16"/>
    <x v="16"/>
    <x v="1"/>
    <x v="5"/>
    <x v="6"/>
  </r>
  <r>
    <x v="13"/>
    <x v="39"/>
    <x v="3"/>
    <x v="43"/>
    <x v="43"/>
    <x v="1"/>
    <x v="5"/>
    <x v="6"/>
  </r>
  <r>
    <x v="13"/>
    <x v="39"/>
    <x v="3"/>
    <x v="19"/>
    <x v="19"/>
    <x v="5"/>
    <x v="5"/>
    <x v="19"/>
  </r>
  <r>
    <x v="13"/>
    <x v="40"/>
    <x v="0"/>
    <x v="24"/>
    <x v="24"/>
    <x v="1"/>
    <x v="8"/>
    <x v="17"/>
  </r>
  <r>
    <x v="13"/>
    <x v="40"/>
    <x v="0"/>
    <x v="0"/>
    <x v="0"/>
    <x v="8"/>
    <x v="0"/>
    <x v="38"/>
  </r>
  <r>
    <x v="13"/>
    <x v="40"/>
    <x v="0"/>
    <x v="25"/>
    <x v="25"/>
    <x v="2"/>
    <x v="9"/>
    <x v="51"/>
  </r>
  <r>
    <x v="13"/>
    <x v="40"/>
    <x v="0"/>
    <x v="39"/>
    <x v="39"/>
    <x v="1"/>
    <x v="5"/>
    <x v="6"/>
  </r>
  <r>
    <x v="13"/>
    <x v="40"/>
    <x v="0"/>
    <x v="40"/>
    <x v="40"/>
    <x v="1"/>
    <x v="5"/>
    <x v="6"/>
  </r>
  <r>
    <x v="13"/>
    <x v="40"/>
    <x v="4"/>
    <x v="27"/>
    <x v="27"/>
    <x v="1"/>
    <x v="10"/>
    <x v="28"/>
  </r>
  <r>
    <x v="13"/>
    <x v="40"/>
    <x v="1"/>
    <x v="56"/>
    <x v="56"/>
    <x v="1"/>
    <x v="5"/>
    <x v="6"/>
  </r>
  <r>
    <x v="13"/>
    <x v="40"/>
    <x v="1"/>
    <x v="20"/>
    <x v="20"/>
    <x v="1"/>
    <x v="4"/>
    <x v="4"/>
  </r>
  <r>
    <x v="13"/>
    <x v="40"/>
    <x v="1"/>
    <x v="30"/>
    <x v="30"/>
    <x v="5"/>
    <x v="4"/>
    <x v="24"/>
  </r>
  <r>
    <x v="13"/>
    <x v="40"/>
    <x v="1"/>
    <x v="21"/>
    <x v="21"/>
    <x v="1"/>
    <x v="4"/>
    <x v="4"/>
  </r>
  <r>
    <x v="13"/>
    <x v="40"/>
    <x v="1"/>
    <x v="4"/>
    <x v="4"/>
    <x v="1"/>
    <x v="4"/>
    <x v="4"/>
  </r>
  <r>
    <x v="13"/>
    <x v="40"/>
    <x v="1"/>
    <x v="6"/>
    <x v="6"/>
    <x v="5"/>
    <x v="5"/>
    <x v="19"/>
  </r>
  <r>
    <x v="13"/>
    <x v="40"/>
    <x v="1"/>
    <x v="7"/>
    <x v="7"/>
    <x v="5"/>
    <x v="6"/>
    <x v="43"/>
  </r>
  <r>
    <x v="13"/>
    <x v="40"/>
    <x v="1"/>
    <x v="8"/>
    <x v="8"/>
    <x v="1"/>
    <x v="5"/>
    <x v="6"/>
  </r>
  <r>
    <x v="13"/>
    <x v="40"/>
    <x v="1"/>
    <x v="64"/>
    <x v="64"/>
    <x v="1"/>
    <x v="5"/>
    <x v="6"/>
  </r>
  <r>
    <x v="13"/>
    <x v="40"/>
    <x v="1"/>
    <x v="41"/>
    <x v="41"/>
    <x v="1"/>
    <x v="5"/>
    <x v="6"/>
  </r>
  <r>
    <x v="13"/>
    <x v="40"/>
    <x v="1"/>
    <x v="52"/>
    <x v="52"/>
    <x v="1"/>
    <x v="7"/>
    <x v="3"/>
  </r>
  <r>
    <x v="13"/>
    <x v="40"/>
    <x v="6"/>
    <x v="57"/>
    <x v="57"/>
    <x v="3"/>
    <x v="17"/>
    <x v="54"/>
  </r>
  <r>
    <x v="13"/>
    <x v="40"/>
    <x v="3"/>
    <x v="23"/>
    <x v="23"/>
    <x v="1"/>
    <x v="5"/>
    <x v="6"/>
  </r>
  <r>
    <x v="13"/>
    <x v="40"/>
    <x v="3"/>
    <x v="26"/>
    <x v="26"/>
    <x v="1"/>
    <x v="5"/>
    <x v="6"/>
  </r>
  <r>
    <x v="13"/>
    <x v="40"/>
    <x v="3"/>
    <x v="14"/>
    <x v="14"/>
    <x v="7"/>
    <x v="5"/>
    <x v="22"/>
  </r>
  <r>
    <x v="13"/>
    <x v="40"/>
    <x v="3"/>
    <x v="17"/>
    <x v="17"/>
    <x v="2"/>
    <x v="5"/>
    <x v="10"/>
  </r>
  <r>
    <x v="14"/>
    <x v="41"/>
    <x v="0"/>
    <x v="0"/>
    <x v="0"/>
    <x v="2"/>
    <x v="0"/>
    <x v="49"/>
  </r>
  <r>
    <x v="14"/>
    <x v="41"/>
    <x v="1"/>
    <x v="2"/>
    <x v="2"/>
    <x v="1"/>
    <x v="2"/>
    <x v="2"/>
  </r>
  <r>
    <x v="14"/>
    <x v="41"/>
    <x v="1"/>
    <x v="9"/>
    <x v="9"/>
    <x v="1"/>
    <x v="7"/>
    <x v="3"/>
  </r>
  <r>
    <x v="14"/>
    <x v="41"/>
    <x v="1"/>
    <x v="22"/>
    <x v="22"/>
    <x v="1"/>
    <x v="4"/>
    <x v="4"/>
  </r>
  <r>
    <x v="14"/>
    <x v="41"/>
    <x v="2"/>
    <x v="33"/>
    <x v="33"/>
    <x v="2"/>
    <x v="11"/>
    <x v="42"/>
  </r>
  <r>
    <x v="14"/>
    <x v="41"/>
    <x v="3"/>
    <x v="23"/>
    <x v="23"/>
    <x v="2"/>
    <x v="5"/>
    <x v="10"/>
  </r>
  <r>
    <x v="14"/>
    <x v="41"/>
    <x v="3"/>
    <x v="13"/>
    <x v="13"/>
    <x v="1"/>
    <x v="5"/>
    <x v="6"/>
  </r>
  <r>
    <x v="14"/>
    <x v="42"/>
    <x v="0"/>
    <x v="0"/>
    <x v="0"/>
    <x v="16"/>
    <x v="0"/>
    <x v="55"/>
  </r>
  <r>
    <x v="14"/>
    <x v="42"/>
    <x v="0"/>
    <x v="38"/>
    <x v="38"/>
    <x v="1"/>
    <x v="12"/>
    <x v="22"/>
  </r>
  <r>
    <x v="14"/>
    <x v="42"/>
    <x v="0"/>
    <x v="25"/>
    <x v="25"/>
    <x v="1"/>
    <x v="9"/>
    <x v="18"/>
  </r>
  <r>
    <x v="14"/>
    <x v="42"/>
    <x v="1"/>
    <x v="20"/>
    <x v="20"/>
    <x v="1"/>
    <x v="4"/>
    <x v="4"/>
  </r>
  <r>
    <x v="14"/>
    <x v="42"/>
    <x v="1"/>
    <x v="2"/>
    <x v="2"/>
    <x v="1"/>
    <x v="2"/>
    <x v="2"/>
  </r>
  <r>
    <x v="14"/>
    <x v="42"/>
    <x v="1"/>
    <x v="36"/>
    <x v="36"/>
    <x v="1"/>
    <x v="2"/>
    <x v="2"/>
  </r>
  <r>
    <x v="14"/>
    <x v="42"/>
    <x v="1"/>
    <x v="5"/>
    <x v="5"/>
    <x v="2"/>
    <x v="4"/>
    <x v="5"/>
  </r>
  <r>
    <x v="14"/>
    <x v="42"/>
    <x v="1"/>
    <x v="6"/>
    <x v="6"/>
    <x v="1"/>
    <x v="5"/>
    <x v="6"/>
  </r>
  <r>
    <x v="14"/>
    <x v="42"/>
    <x v="1"/>
    <x v="7"/>
    <x v="7"/>
    <x v="5"/>
    <x v="6"/>
    <x v="43"/>
  </r>
  <r>
    <x v="14"/>
    <x v="42"/>
    <x v="1"/>
    <x v="8"/>
    <x v="8"/>
    <x v="5"/>
    <x v="5"/>
    <x v="19"/>
  </r>
  <r>
    <x v="14"/>
    <x v="42"/>
    <x v="2"/>
    <x v="54"/>
    <x v="54"/>
    <x v="1"/>
    <x v="12"/>
    <x v="22"/>
  </r>
  <r>
    <x v="14"/>
    <x v="42"/>
    <x v="2"/>
    <x v="11"/>
    <x v="11"/>
    <x v="1"/>
    <x v="0"/>
    <x v="9"/>
  </r>
  <r>
    <x v="14"/>
    <x v="42"/>
    <x v="2"/>
    <x v="33"/>
    <x v="33"/>
    <x v="2"/>
    <x v="11"/>
    <x v="42"/>
  </r>
  <r>
    <x v="14"/>
    <x v="42"/>
    <x v="3"/>
    <x v="23"/>
    <x v="23"/>
    <x v="8"/>
    <x v="5"/>
    <x v="23"/>
  </r>
  <r>
    <x v="14"/>
    <x v="42"/>
    <x v="3"/>
    <x v="50"/>
    <x v="50"/>
    <x v="1"/>
    <x v="5"/>
    <x v="6"/>
  </r>
  <r>
    <x v="14"/>
    <x v="42"/>
    <x v="3"/>
    <x v="58"/>
    <x v="58"/>
    <x v="5"/>
    <x v="5"/>
    <x v="19"/>
  </r>
  <r>
    <x v="14"/>
    <x v="42"/>
    <x v="3"/>
    <x v="18"/>
    <x v="18"/>
    <x v="1"/>
    <x v="5"/>
    <x v="6"/>
  </r>
  <r>
    <x v="14"/>
    <x v="42"/>
    <x v="3"/>
    <x v="19"/>
    <x v="19"/>
    <x v="5"/>
    <x v="5"/>
    <x v="19"/>
  </r>
  <r>
    <x v="15"/>
    <x v="43"/>
    <x v="0"/>
    <x v="0"/>
    <x v="0"/>
    <x v="9"/>
    <x v="0"/>
    <x v="26"/>
  </r>
  <r>
    <x v="15"/>
    <x v="43"/>
    <x v="0"/>
    <x v="38"/>
    <x v="38"/>
    <x v="1"/>
    <x v="12"/>
    <x v="22"/>
  </r>
  <r>
    <x v="15"/>
    <x v="43"/>
    <x v="4"/>
    <x v="27"/>
    <x v="27"/>
    <x v="1"/>
    <x v="10"/>
    <x v="28"/>
  </r>
  <r>
    <x v="15"/>
    <x v="43"/>
    <x v="1"/>
    <x v="30"/>
    <x v="30"/>
    <x v="2"/>
    <x v="4"/>
    <x v="5"/>
  </r>
  <r>
    <x v="15"/>
    <x v="43"/>
    <x v="1"/>
    <x v="8"/>
    <x v="8"/>
    <x v="1"/>
    <x v="5"/>
    <x v="6"/>
  </r>
  <r>
    <x v="15"/>
    <x v="43"/>
    <x v="3"/>
    <x v="23"/>
    <x v="23"/>
    <x v="1"/>
    <x v="5"/>
    <x v="6"/>
  </r>
  <r>
    <x v="15"/>
    <x v="43"/>
    <x v="3"/>
    <x v="37"/>
    <x v="37"/>
    <x v="1"/>
    <x v="5"/>
    <x v="6"/>
  </r>
  <r>
    <x v="15"/>
    <x v="43"/>
    <x v="3"/>
    <x v="14"/>
    <x v="14"/>
    <x v="1"/>
    <x v="5"/>
    <x v="6"/>
  </r>
  <r>
    <x v="15"/>
    <x v="43"/>
    <x v="3"/>
    <x v="15"/>
    <x v="15"/>
    <x v="1"/>
    <x v="5"/>
    <x v="6"/>
  </r>
  <r>
    <x v="15"/>
    <x v="43"/>
    <x v="3"/>
    <x v="16"/>
    <x v="16"/>
    <x v="2"/>
    <x v="5"/>
    <x v="10"/>
  </r>
  <r>
    <x v="16"/>
    <x v="44"/>
    <x v="0"/>
    <x v="0"/>
    <x v="0"/>
    <x v="4"/>
    <x v="0"/>
    <x v="12"/>
  </r>
  <r>
    <x v="16"/>
    <x v="44"/>
    <x v="1"/>
    <x v="20"/>
    <x v="20"/>
    <x v="2"/>
    <x v="4"/>
    <x v="5"/>
  </r>
  <r>
    <x v="16"/>
    <x v="44"/>
    <x v="1"/>
    <x v="30"/>
    <x v="30"/>
    <x v="1"/>
    <x v="4"/>
    <x v="4"/>
  </r>
  <r>
    <x v="16"/>
    <x v="44"/>
    <x v="1"/>
    <x v="2"/>
    <x v="2"/>
    <x v="2"/>
    <x v="2"/>
    <x v="30"/>
  </r>
  <r>
    <x v="16"/>
    <x v="44"/>
    <x v="1"/>
    <x v="3"/>
    <x v="3"/>
    <x v="1"/>
    <x v="3"/>
    <x v="14"/>
  </r>
  <r>
    <x v="16"/>
    <x v="44"/>
    <x v="1"/>
    <x v="46"/>
    <x v="46"/>
    <x v="1"/>
    <x v="4"/>
    <x v="4"/>
  </r>
  <r>
    <x v="16"/>
    <x v="44"/>
    <x v="1"/>
    <x v="5"/>
    <x v="5"/>
    <x v="2"/>
    <x v="4"/>
    <x v="5"/>
  </r>
  <r>
    <x v="16"/>
    <x v="44"/>
    <x v="1"/>
    <x v="6"/>
    <x v="6"/>
    <x v="5"/>
    <x v="5"/>
    <x v="19"/>
  </r>
  <r>
    <x v="16"/>
    <x v="44"/>
    <x v="1"/>
    <x v="7"/>
    <x v="7"/>
    <x v="2"/>
    <x v="6"/>
    <x v="15"/>
  </r>
  <r>
    <x v="16"/>
    <x v="44"/>
    <x v="1"/>
    <x v="8"/>
    <x v="8"/>
    <x v="2"/>
    <x v="5"/>
    <x v="10"/>
  </r>
  <r>
    <x v="16"/>
    <x v="44"/>
    <x v="5"/>
    <x v="42"/>
    <x v="42"/>
    <x v="1"/>
    <x v="13"/>
    <x v="27"/>
  </r>
  <r>
    <x v="16"/>
    <x v="44"/>
    <x v="2"/>
    <x v="33"/>
    <x v="33"/>
    <x v="3"/>
    <x v="11"/>
    <x v="56"/>
  </r>
  <r>
    <x v="16"/>
    <x v="44"/>
    <x v="3"/>
    <x v="23"/>
    <x v="23"/>
    <x v="2"/>
    <x v="5"/>
    <x v="10"/>
  </r>
  <r>
    <x v="16"/>
    <x v="44"/>
    <x v="3"/>
    <x v="37"/>
    <x v="37"/>
    <x v="5"/>
    <x v="5"/>
    <x v="19"/>
  </r>
  <r>
    <x v="16"/>
    <x v="44"/>
    <x v="3"/>
    <x v="15"/>
    <x v="15"/>
    <x v="1"/>
    <x v="5"/>
    <x v="6"/>
  </r>
  <r>
    <x v="16"/>
    <x v="44"/>
    <x v="3"/>
    <x v="43"/>
    <x v="43"/>
    <x v="1"/>
    <x v="5"/>
    <x v="6"/>
  </r>
  <r>
    <x v="16"/>
    <x v="44"/>
    <x v="3"/>
    <x v="19"/>
    <x v="19"/>
    <x v="2"/>
    <x v="5"/>
    <x v="10"/>
  </r>
  <r>
    <x v="16"/>
    <x v="45"/>
    <x v="0"/>
    <x v="0"/>
    <x v="0"/>
    <x v="5"/>
    <x v="0"/>
    <x v="17"/>
  </r>
  <r>
    <x v="16"/>
    <x v="45"/>
    <x v="0"/>
    <x v="25"/>
    <x v="25"/>
    <x v="1"/>
    <x v="9"/>
    <x v="18"/>
  </r>
  <r>
    <x v="16"/>
    <x v="45"/>
    <x v="0"/>
    <x v="1"/>
    <x v="1"/>
    <x v="1"/>
    <x v="1"/>
    <x v="1"/>
  </r>
  <r>
    <x v="16"/>
    <x v="45"/>
    <x v="1"/>
    <x v="30"/>
    <x v="30"/>
    <x v="1"/>
    <x v="4"/>
    <x v="4"/>
  </r>
  <r>
    <x v="16"/>
    <x v="45"/>
    <x v="1"/>
    <x v="7"/>
    <x v="7"/>
    <x v="2"/>
    <x v="6"/>
    <x v="15"/>
  </r>
  <r>
    <x v="16"/>
    <x v="45"/>
    <x v="2"/>
    <x v="33"/>
    <x v="33"/>
    <x v="1"/>
    <x v="11"/>
    <x v="29"/>
  </r>
  <r>
    <x v="16"/>
    <x v="45"/>
    <x v="3"/>
    <x v="26"/>
    <x v="26"/>
    <x v="1"/>
    <x v="5"/>
    <x v="6"/>
  </r>
  <r>
    <x v="16"/>
    <x v="45"/>
    <x v="3"/>
    <x v="14"/>
    <x v="14"/>
    <x v="7"/>
    <x v="5"/>
    <x v="22"/>
  </r>
  <r>
    <x v="16"/>
    <x v="45"/>
    <x v="3"/>
    <x v="34"/>
    <x v="34"/>
    <x v="1"/>
    <x v="5"/>
    <x v="6"/>
  </r>
  <r>
    <x v="16"/>
    <x v="45"/>
    <x v="3"/>
    <x v="17"/>
    <x v="17"/>
    <x v="1"/>
    <x v="5"/>
    <x v="6"/>
  </r>
  <r>
    <x v="16"/>
    <x v="46"/>
    <x v="0"/>
    <x v="0"/>
    <x v="0"/>
    <x v="5"/>
    <x v="0"/>
    <x v="17"/>
  </r>
  <r>
    <x v="16"/>
    <x v="46"/>
    <x v="0"/>
    <x v="55"/>
    <x v="55"/>
    <x v="1"/>
    <x v="16"/>
    <x v="41"/>
  </r>
  <r>
    <x v="16"/>
    <x v="46"/>
    <x v="0"/>
    <x v="38"/>
    <x v="38"/>
    <x v="1"/>
    <x v="12"/>
    <x v="22"/>
  </r>
  <r>
    <x v="16"/>
    <x v="46"/>
    <x v="4"/>
    <x v="27"/>
    <x v="27"/>
    <x v="1"/>
    <x v="10"/>
    <x v="28"/>
  </r>
  <r>
    <x v="16"/>
    <x v="46"/>
    <x v="1"/>
    <x v="65"/>
    <x v="65"/>
    <x v="1"/>
    <x v="4"/>
    <x v="4"/>
  </r>
  <r>
    <x v="16"/>
    <x v="46"/>
    <x v="1"/>
    <x v="30"/>
    <x v="30"/>
    <x v="5"/>
    <x v="4"/>
    <x v="24"/>
  </r>
  <r>
    <x v="16"/>
    <x v="46"/>
    <x v="1"/>
    <x v="7"/>
    <x v="7"/>
    <x v="1"/>
    <x v="6"/>
    <x v="33"/>
  </r>
  <r>
    <x v="16"/>
    <x v="46"/>
    <x v="3"/>
    <x v="23"/>
    <x v="23"/>
    <x v="2"/>
    <x v="5"/>
    <x v="10"/>
  </r>
  <r>
    <x v="16"/>
    <x v="46"/>
    <x v="3"/>
    <x v="14"/>
    <x v="14"/>
    <x v="1"/>
    <x v="5"/>
    <x v="6"/>
  </r>
  <r>
    <x v="17"/>
    <x v="47"/>
    <x v="0"/>
    <x v="0"/>
    <x v="0"/>
    <x v="17"/>
    <x v="0"/>
    <x v="57"/>
  </r>
  <r>
    <x v="17"/>
    <x v="47"/>
    <x v="0"/>
    <x v="55"/>
    <x v="55"/>
    <x v="1"/>
    <x v="16"/>
    <x v="41"/>
  </r>
  <r>
    <x v="17"/>
    <x v="47"/>
    <x v="0"/>
    <x v="25"/>
    <x v="25"/>
    <x v="1"/>
    <x v="9"/>
    <x v="18"/>
  </r>
  <r>
    <x v="17"/>
    <x v="47"/>
    <x v="4"/>
    <x v="27"/>
    <x v="27"/>
    <x v="1"/>
    <x v="10"/>
    <x v="28"/>
  </r>
  <r>
    <x v="17"/>
    <x v="47"/>
    <x v="1"/>
    <x v="20"/>
    <x v="20"/>
    <x v="1"/>
    <x v="4"/>
    <x v="4"/>
  </r>
  <r>
    <x v="17"/>
    <x v="47"/>
    <x v="1"/>
    <x v="30"/>
    <x v="30"/>
    <x v="1"/>
    <x v="4"/>
    <x v="4"/>
  </r>
  <r>
    <x v="17"/>
    <x v="47"/>
    <x v="1"/>
    <x v="2"/>
    <x v="2"/>
    <x v="2"/>
    <x v="2"/>
    <x v="30"/>
  </r>
  <r>
    <x v="17"/>
    <x v="47"/>
    <x v="1"/>
    <x v="66"/>
    <x v="66"/>
    <x v="1"/>
    <x v="2"/>
    <x v="2"/>
  </r>
  <r>
    <x v="17"/>
    <x v="47"/>
    <x v="1"/>
    <x v="7"/>
    <x v="7"/>
    <x v="7"/>
    <x v="6"/>
    <x v="45"/>
  </r>
  <r>
    <x v="17"/>
    <x v="47"/>
    <x v="1"/>
    <x v="8"/>
    <x v="8"/>
    <x v="7"/>
    <x v="5"/>
    <x v="22"/>
  </r>
  <r>
    <x v="17"/>
    <x v="47"/>
    <x v="1"/>
    <x v="9"/>
    <x v="9"/>
    <x v="2"/>
    <x v="7"/>
    <x v="8"/>
  </r>
  <r>
    <x v="17"/>
    <x v="47"/>
    <x v="1"/>
    <x v="10"/>
    <x v="10"/>
    <x v="1"/>
    <x v="5"/>
    <x v="6"/>
  </r>
  <r>
    <x v="17"/>
    <x v="47"/>
    <x v="1"/>
    <x v="22"/>
    <x v="22"/>
    <x v="1"/>
    <x v="4"/>
    <x v="4"/>
  </r>
  <r>
    <x v="17"/>
    <x v="47"/>
    <x v="5"/>
    <x v="42"/>
    <x v="42"/>
    <x v="1"/>
    <x v="13"/>
    <x v="27"/>
  </r>
  <r>
    <x v="17"/>
    <x v="47"/>
    <x v="3"/>
    <x v="23"/>
    <x v="23"/>
    <x v="7"/>
    <x v="5"/>
    <x v="22"/>
  </r>
  <r>
    <x v="17"/>
    <x v="47"/>
    <x v="3"/>
    <x v="26"/>
    <x v="26"/>
    <x v="1"/>
    <x v="5"/>
    <x v="6"/>
  </r>
  <r>
    <x v="17"/>
    <x v="47"/>
    <x v="3"/>
    <x v="37"/>
    <x v="37"/>
    <x v="5"/>
    <x v="5"/>
    <x v="19"/>
  </r>
  <r>
    <x v="17"/>
    <x v="47"/>
    <x v="3"/>
    <x v="15"/>
    <x v="15"/>
    <x v="5"/>
    <x v="5"/>
    <x v="19"/>
  </r>
  <r>
    <x v="17"/>
    <x v="47"/>
    <x v="3"/>
    <x v="16"/>
    <x v="16"/>
    <x v="1"/>
    <x v="5"/>
    <x v="6"/>
  </r>
  <r>
    <x v="17"/>
    <x v="47"/>
    <x v="3"/>
    <x v="19"/>
    <x v="19"/>
    <x v="1"/>
    <x v="5"/>
    <x v="6"/>
  </r>
  <r>
    <x v="17"/>
    <x v="48"/>
    <x v="0"/>
    <x v="0"/>
    <x v="0"/>
    <x v="18"/>
    <x v="0"/>
    <x v="58"/>
  </r>
  <r>
    <x v="17"/>
    <x v="48"/>
    <x v="0"/>
    <x v="44"/>
    <x v="44"/>
    <x v="1"/>
    <x v="14"/>
    <x v="32"/>
  </r>
  <r>
    <x v="17"/>
    <x v="48"/>
    <x v="4"/>
    <x v="27"/>
    <x v="27"/>
    <x v="1"/>
    <x v="10"/>
    <x v="28"/>
  </r>
  <r>
    <x v="17"/>
    <x v="48"/>
    <x v="1"/>
    <x v="30"/>
    <x v="30"/>
    <x v="2"/>
    <x v="4"/>
    <x v="5"/>
  </r>
  <r>
    <x v="17"/>
    <x v="48"/>
    <x v="1"/>
    <x v="3"/>
    <x v="3"/>
    <x v="2"/>
    <x v="3"/>
    <x v="3"/>
  </r>
  <r>
    <x v="17"/>
    <x v="48"/>
    <x v="1"/>
    <x v="31"/>
    <x v="31"/>
    <x v="1"/>
    <x v="4"/>
    <x v="4"/>
  </r>
  <r>
    <x v="17"/>
    <x v="48"/>
    <x v="1"/>
    <x v="67"/>
    <x v="67"/>
    <x v="1"/>
    <x v="4"/>
    <x v="4"/>
  </r>
  <r>
    <x v="17"/>
    <x v="48"/>
    <x v="1"/>
    <x v="4"/>
    <x v="4"/>
    <x v="1"/>
    <x v="4"/>
    <x v="4"/>
  </r>
  <r>
    <x v="17"/>
    <x v="48"/>
    <x v="1"/>
    <x v="6"/>
    <x v="6"/>
    <x v="1"/>
    <x v="5"/>
    <x v="6"/>
  </r>
  <r>
    <x v="17"/>
    <x v="48"/>
    <x v="1"/>
    <x v="7"/>
    <x v="7"/>
    <x v="5"/>
    <x v="6"/>
    <x v="43"/>
  </r>
  <r>
    <x v="17"/>
    <x v="48"/>
    <x v="1"/>
    <x v="8"/>
    <x v="8"/>
    <x v="1"/>
    <x v="5"/>
    <x v="6"/>
  </r>
  <r>
    <x v="17"/>
    <x v="48"/>
    <x v="1"/>
    <x v="9"/>
    <x v="9"/>
    <x v="1"/>
    <x v="7"/>
    <x v="3"/>
  </r>
  <r>
    <x v="17"/>
    <x v="48"/>
    <x v="2"/>
    <x v="33"/>
    <x v="33"/>
    <x v="1"/>
    <x v="11"/>
    <x v="29"/>
  </r>
  <r>
    <x v="17"/>
    <x v="48"/>
    <x v="3"/>
    <x v="23"/>
    <x v="23"/>
    <x v="5"/>
    <x v="5"/>
    <x v="19"/>
  </r>
  <r>
    <x v="17"/>
    <x v="48"/>
    <x v="3"/>
    <x v="13"/>
    <x v="13"/>
    <x v="1"/>
    <x v="5"/>
    <x v="6"/>
  </r>
  <r>
    <x v="17"/>
    <x v="48"/>
    <x v="3"/>
    <x v="14"/>
    <x v="14"/>
    <x v="8"/>
    <x v="5"/>
    <x v="23"/>
  </r>
  <r>
    <x v="17"/>
    <x v="48"/>
    <x v="3"/>
    <x v="17"/>
    <x v="17"/>
    <x v="2"/>
    <x v="5"/>
    <x v="10"/>
  </r>
  <r>
    <x v="17"/>
    <x v="49"/>
    <x v="0"/>
    <x v="0"/>
    <x v="0"/>
    <x v="2"/>
    <x v="0"/>
    <x v="49"/>
  </r>
  <r>
    <x v="17"/>
    <x v="49"/>
    <x v="0"/>
    <x v="25"/>
    <x v="25"/>
    <x v="1"/>
    <x v="9"/>
    <x v="18"/>
  </r>
  <r>
    <x v="17"/>
    <x v="49"/>
    <x v="4"/>
    <x v="27"/>
    <x v="27"/>
    <x v="1"/>
    <x v="10"/>
    <x v="28"/>
  </r>
  <r>
    <x v="17"/>
    <x v="49"/>
    <x v="1"/>
    <x v="2"/>
    <x v="2"/>
    <x v="1"/>
    <x v="2"/>
    <x v="2"/>
  </r>
  <r>
    <x v="17"/>
    <x v="49"/>
    <x v="1"/>
    <x v="9"/>
    <x v="9"/>
    <x v="1"/>
    <x v="7"/>
    <x v="3"/>
  </r>
  <r>
    <x v="17"/>
    <x v="49"/>
    <x v="2"/>
    <x v="33"/>
    <x v="33"/>
    <x v="1"/>
    <x v="11"/>
    <x v="29"/>
  </r>
  <r>
    <x v="17"/>
    <x v="49"/>
    <x v="3"/>
    <x v="23"/>
    <x v="23"/>
    <x v="5"/>
    <x v="5"/>
    <x v="19"/>
  </r>
  <r>
    <x v="17"/>
    <x v="49"/>
    <x v="3"/>
    <x v="14"/>
    <x v="14"/>
    <x v="1"/>
    <x v="5"/>
    <x v="6"/>
  </r>
  <r>
    <x v="18"/>
    <x v="50"/>
    <x v="0"/>
    <x v="0"/>
    <x v="0"/>
    <x v="4"/>
    <x v="0"/>
    <x v="12"/>
  </r>
  <r>
    <x v="18"/>
    <x v="50"/>
    <x v="0"/>
    <x v="25"/>
    <x v="25"/>
    <x v="1"/>
    <x v="9"/>
    <x v="18"/>
  </r>
  <r>
    <x v="18"/>
    <x v="50"/>
    <x v="1"/>
    <x v="2"/>
    <x v="2"/>
    <x v="1"/>
    <x v="2"/>
    <x v="2"/>
  </r>
  <r>
    <x v="18"/>
    <x v="50"/>
    <x v="1"/>
    <x v="5"/>
    <x v="5"/>
    <x v="1"/>
    <x v="4"/>
    <x v="4"/>
  </r>
  <r>
    <x v="18"/>
    <x v="50"/>
    <x v="1"/>
    <x v="7"/>
    <x v="7"/>
    <x v="1"/>
    <x v="6"/>
    <x v="33"/>
  </r>
  <r>
    <x v="18"/>
    <x v="50"/>
    <x v="1"/>
    <x v="9"/>
    <x v="9"/>
    <x v="1"/>
    <x v="7"/>
    <x v="3"/>
  </r>
  <r>
    <x v="18"/>
    <x v="50"/>
    <x v="3"/>
    <x v="23"/>
    <x v="23"/>
    <x v="2"/>
    <x v="5"/>
    <x v="10"/>
  </r>
  <r>
    <x v="18"/>
    <x v="50"/>
    <x v="3"/>
    <x v="37"/>
    <x v="37"/>
    <x v="1"/>
    <x v="5"/>
    <x v="6"/>
  </r>
  <r>
    <x v="18"/>
    <x v="50"/>
    <x v="3"/>
    <x v="15"/>
    <x v="15"/>
    <x v="1"/>
    <x v="5"/>
    <x v="6"/>
  </r>
  <r>
    <x v="18"/>
    <x v="50"/>
    <x v="3"/>
    <x v="19"/>
    <x v="19"/>
    <x v="1"/>
    <x v="5"/>
    <x v="6"/>
  </r>
  <r>
    <x v="18"/>
    <x v="51"/>
    <x v="0"/>
    <x v="0"/>
    <x v="0"/>
    <x v="3"/>
    <x v="0"/>
    <x v="34"/>
  </r>
  <r>
    <x v="18"/>
    <x v="51"/>
    <x v="0"/>
    <x v="1"/>
    <x v="1"/>
    <x v="1"/>
    <x v="1"/>
    <x v="1"/>
  </r>
  <r>
    <x v="18"/>
    <x v="51"/>
    <x v="1"/>
    <x v="30"/>
    <x v="30"/>
    <x v="1"/>
    <x v="4"/>
    <x v="4"/>
  </r>
  <r>
    <x v="18"/>
    <x v="51"/>
    <x v="1"/>
    <x v="3"/>
    <x v="3"/>
    <x v="1"/>
    <x v="3"/>
    <x v="14"/>
  </r>
  <r>
    <x v="18"/>
    <x v="51"/>
    <x v="1"/>
    <x v="67"/>
    <x v="67"/>
    <x v="1"/>
    <x v="4"/>
    <x v="4"/>
  </r>
  <r>
    <x v="18"/>
    <x v="51"/>
    <x v="1"/>
    <x v="66"/>
    <x v="66"/>
    <x v="1"/>
    <x v="2"/>
    <x v="2"/>
  </r>
  <r>
    <x v="18"/>
    <x v="51"/>
    <x v="1"/>
    <x v="7"/>
    <x v="7"/>
    <x v="1"/>
    <x v="6"/>
    <x v="33"/>
  </r>
  <r>
    <x v="18"/>
    <x v="51"/>
    <x v="1"/>
    <x v="10"/>
    <x v="10"/>
    <x v="1"/>
    <x v="5"/>
    <x v="6"/>
  </r>
  <r>
    <x v="18"/>
    <x v="51"/>
    <x v="5"/>
    <x v="42"/>
    <x v="42"/>
    <x v="1"/>
    <x v="13"/>
    <x v="27"/>
  </r>
  <r>
    <x v="18"/>
    <x v="51"/>
    <x v="6"/>
    <x v="57"/>
    <x v="57"/>
    <x v="5"/>
    <x v="17"/>
    <x v="59"/>
  </r>
  <r>
    <x v="18"/>
    <x v="51"/>
    <x v="2"/>
    <x v="33"/>
    <x v="33"/>
    <x v="2"/>
    <x v="11"/>
    <x v="42"/>
  </r>
  <r>
    <x v="18"/>
    <x v="51"/>
    <x v="3"/>
    <x v="23"/>
    <x v="23"/>
    <x v="5"/>
    <x v="5"/>
    <x v="19"/>
  </r>
  <r>
    <x v="18"/>
    <x v="51"/>
    <x v="3"/>
    <x v="14"/>
    <x v="14"/>
    <x v="2"/>
    <x v="5"/>
    <x v="10"/>
  </r>
  <r>
    <x v="18"/>
    <x v="51"/>
    <x v="3"/>
    <x v="34"/>
    <x v="34"/>
    <x v="1"/>
    <x v="5"/>
    <x v="6"/>
  </r>
  <r>
    <x v="18"/>
    <x v="51"/>
    <x v="3"/>
    <x v="16"/>
    <x v="16"/>
    <x v="1"/>
    <x v="5"/>
    <x v="6"/>
  </r>
  <r>
    <x v="18"/>
    <x v="51"/>
    <x v="3"/>
    <x v="17"/>
    <x v="17"/>
    <x v="1"/>
    <x v="5"/>
    <x v="6"/>
  </r>
  <r>
    <x v="18"/>
    <x v="52"/>
    <x v="0"/>
    <x v="0"/>
    <x v="0"/>
    <x v="1"/>
    <x v="0"/>
    <x v="9"/>
  </r>
  <r>
    <x v="18"/>
    <x v="52"/>
    <x v="0"/>
    <x v="25"/>
    <x v="25"/>
    <x v="1"/>
    <x v="9"/>
    <x v="18"/>
  </r>
  <r>
    <x v="18"/>
    <x v="52"/>
    <x v="1"/>
    <x v="67"/>
    <x v="67"/>
    <x v="1"/>
    <x v="4"/>
    <x v="4"/>
  </r>
  <r>
    <x v="18"/>
    <x v="52"/>
    <x v="1"/>
    <x v="5"/>
    <x v="5"/>
    <x v="1"/>
    <x v="4"/>
    <x v="4"/>
  </r>
  <r>
    <x v="18"/>
    <x v="52"/>
    <x v="1"/>
    <x v="9"/>
    <x v="9"/>
    <x v="1"/>
    <x v="7"/>
    <x v="3"/>
  </r>
  <r>
    <x v="18"/>
    <x v="52"/>
    <x v="2"/>
    <x v="33"/>
    <x v="33"/>
    <x v="1"/>
    <x v="11"/>
    <x v="29"/>
  </r>
  <r>
    <x v="18"/>
    <x v="52"/>
    <x v="3"/>
    <x v="26"/>
    <x v="26"/>
    <x v="1"/>
    <x v="5"/>
    <x v="6"/>
  </r>
  <r>
    <x v="18"/>
    <x v="52"/>
    <x v="3"/>
    <x v="14"/>
    <x v="14"/>
    <x v="1"/>
    <x v="5"/>
    <x v="6"/>
  </r>
  <r>
    <x v="19"/>
    <x v="53"/>
    <x v="0"/>
    <x v="0"/>
    <x v="0"/>
    <x v="15"/>
    <x v="0"/>
    <x v="48"/>
  </r>
  <r>
    <x v="19"/>
    <x v="53"/>
    <x v="1"/>
    <x v="28"/>
    <x v="28"/>
    <x v="1"/>
    <x v="4"/>
    <x v="4"/>
  </r>
  <r>
    <x v="19"/>
    <x v="53"/>
    <x v="1"/>
    <x v="29"/>
    <x v="29"/>
    <x v="1"/>
    <x v="4"/>
    <x v="4"/>
  </r>
  <r>
    <x v="19"/>
    <x v="53"/>
    <x v="1"/>
    <x v="20"/>
    <x v="20"/>
    <x v="1"/>
    <x v="4"/>
    <x v="4"/>
  </r>
  <r>
    <x v="19"/>
    <x v="53"/>
    <x v="1"/>
    <x v="30"/>
    <x v="30"/>
    <x v="1"/>
    <x v="4"/>
    <x v="4"/>
  </r>
  <r>
    <x v="19"/>
    <x v="53"/>
    <x v="1"/>
    <x v="2"/>
    <x v="2"/>
    <x v="7"/>
    <x v="2"/>
    <x v="25"/>
  </r>
  <r>
    <x v="19"/>
    <x v="53"/>
    <x v="1"/>
    <x v="35"/>
    <x v="35"/>
    <x v="1"/>
    <x v="3"/>
    <x v="14"/>
  </r>
  <r>
    <x v="19"/>
    <x v="53"/>
    <x v="1"/>
    <x v="5"/>
    <x v="5"/>
    <x v="1"/>
    <x v="4"/>
    <x v="4"/>
  </r>
  <r>
    <x v="19"/>
    <x v="53"/>
    <x v="1"/>
    <x v="7"/>
    <x v="7"/>
    <x v="1"/>
    <x v="6"/>
    <x v="33"/>
  </r>
  <r>
    <x v="19"/>
    <x v="53"/>
    <x v="1"/>
    <x v="8"/>
    <x v="8"/>
    <x v="7"/>
    <x v="5"/>
    <x v="22"/>
  </r>
  <r>
    <x v="19"/>
    <x v="53"/>
    <x v="1"/>
    <x v="9"/>
    <x v="9"/>
    <x v="1"/>
    <x v="7"/>
    <x v="3"/>
  </r>
  <r>
    <x v="19"/>
    <x v="53"/>
    <x v="1"/>
    <x v="10"/>
    <x v="10"/>
    <x v="1"/>
    <x v="5"/>
    <x v="6"/>
  </r>
  <r>
    <x v="19"/>
    <x v="53"/>
    <x v="1"/>
    <x v="22"/>
    <x v="22"/>
    <x v="1"/>
    <x v="4"/>
    <x v="4"/>
  </r>
  <r>
    <x v="19"/>
    <x v="53"/>
    <x v="3"/>
    <x v="23"/>
    <x v="23"/>
    <x v="7"/>
    <x v="5"/>
    <x v="22"/>
  </r>
  <r>
    <x v="19"/>
    <x v="53"/>
    <x v="3"/>
    <x v="26"/>
    <x v="26"/>
    <x v="1"/>
    <x v="5"/>
    <x v="6"/>
  </r>
  <r>
    <x v="19"/>
    <x v="53"/>
    <x v="3"/>
    <x v="37"/>
    <x v="37"/>
    <x v="2"/>
    <x v="5"/>
    <x v="10"/>
  </r>
  <r>
    <x v="19"/>
    <x v="53"/>
    <x v="3"/>
    <x v="14"/>
    <x v="14"/>
    <x v="5"/>
    <x v="5"/>
    <x v="19"/>
  </r>
  <r>
    <x v="19"/>
    <x v="53"/>
    <x v="3"/>
    <x v="15"/>
    <x v="15"/>
    <x v="5"/>
    <x v="5"/>
    <x v="19"/>
  </r>
  <r>
    <x v="19"/>
    <x v="53"/>
    <x v="3"/>
    <x v="19"/>
    <x v="19"/>
    <x v="1"/>
    <x v="5"/>
    <x v="6"/>
  </r>
  <r>
    <x v="19"/>
    <x v="54"/>
    <x v="0"/>
    <x v="0"/>
    <x v="0"/>
    <x v="8"/>
    <x v="0"/>
    <x v="38"/>
  </r>
  <r>
    <x v="19"/>
    <x v="54"/>
    <x v="0"/>
    <x v="44"/>
    <x v="44"/>
    <x v="1"/>
    <x v="14"/>
    <x v="32"/>
  </r>
  <r>
    <x v="19"/>
    <x v="54"/>
    <x v="0"/>
    <x v="1"/>
    <x v="1"/>
    <x v="1"/>
    <x v="1"/>
    <x v="1"/>
  </r>
  <r>
    <x v="19"/>
    <x v="54"/>
    <x v="1"/>
    <x v="28"/>
    <x v="28"/>
    <x v="1"/>
    <x v="4"/>
    <x v="4"/>
  </r>
  <r>
    <x v="19"/>
    <x v="54"/>
    <x v="1"/>
    <x v="3"/>
    <x v="3"/>
    <x v="1"/>
    <x v="3"/>
    <x v="14"/>
  </r>
  <r>
    <x v="19"/>
    <x v="54"/>
    <x v="1"/>
    <x v="4"/>
    <x v="4"/>
    <x v="1"/>
    <x v="4"/>
    <x v="4"/>
  </r>
  <r>
    <x v="19"/>
    <x v="54"/>
    <x v="1"/>
    <x v="5"/>
    <x v="5"/>
    <x v="1"/>
    <x v="4"/>
    <x v="4"/>
  </r>
  <r>
    <x v="19"/>
    <x v="54"/>
    <x v="1"/>
    <x v="7"/>
    <x v="7"/>
    <x v="1"/>
    <x v="6"/>
    <x v="33"/>
  </r>
  <r>
    <x v="19"/>
    <x v="54"/>
    <x v="1"/>
    <x v="8"/>
    <x v="8"/>
    <x v="2"/>
    <x v="5"/>
    <x v="10"/>
  </r>
  <r>
    <x v="19"/>
    <x v="54"/>
    <x v="1"/>
    <x v="9"/>
    <x v="9"/>
    <x v="2"/>
    <x v="7"/>
    <x v="8"/>
  </r>
  <r>
    <x v="19"/>
    <x v="54"/>
    <x v="5"/>
    <x v="42"/>
    <x v="42"/>
    <x v="1"/>
    <x v="13"/>
    <x v="27"/>
  </r>
  <r>
    <x v="19"/>
    <x v="54"/>
    <x v="6"/>
    <x v="57"/>
    <x v="57"/>
    <x v="3"/>
    <x v="17"/>
    <x v="54"/>
  </r>
  <r>
    <x v="19"/>
    <x v="54"/>
    <x v="3"/>
    <x v="37"/>
    <x v="37"/>
    <x v="1"/>
    <x v="5"/>
    <x v="6"/>
  </r>
  <r>
    <x v="19"/>
    <x v="54"/>
    <x v="3"/>
    <x v="14"/>
    <x v="14"/>
    <x v="5"/>
    <x v="5"/>
    <x v="19"/>
  </r>
  <r>
    <x v="19"/>
    <x v="54"/>
    <x v="3"/>
    <x v="16"/>
    <x v="16"/>
    <x v="1"/>
    <x v="5"/>
    <x v="6"/>
  </r>
  <r>
    <x v="19"/>
    <x v="55"/>
    <x v="0"/>
    <x v="0"/>
    <x v="0"/>
    <x v="2"/>
    <x v="0"/>
    <x v="49"/>
  </r>
  <r>
    <x v="19"/>
    <x v="55"/>
    <x v="1"/>
    <x v="29"/>
    <x v="29"/>
    <x v="2"/>
    <x v="4"/>
    <x v="5"/>
  </r>
  <r>
    <x v="19"/>
    <x v="55"/>
    <x v="1"/>
    <x v="2"/>
    <x v="2"/>
    <x v="1"/>
    <x v="2"/>
    <x v="2"/>
  </r>
  <r>
    <x v="19"/>
    <x v="55"/>
    <x v="1"/>
    <x v="31"/>
    <x v="31"/>
    <x v="5"/>
    <x v="4"/>
    <x v="24"/>
  </r>
  <r>
    <x v="19"/>
    <x v="55"/>
    <x v="1"/>
    <x v="46"/>
    <x v="46"/>
    <x v="1"/>
    <x v="4"/>
    <x v="4"/>
  </r>
  <r>
    <x v="19"/>
    <x v="55"/>
    <x v="1"/>
    <x v="4"/>
    <x v="4"/>
    <x v="1"/>
    <x v="4"/>
    <x v="4"/>
  </r>
  <r>
    <x v="19"/>
    <x v="55"/>
    <x v="1"/>
    <x v="5"/>
    <x v="5"/>
    <x v="1"/>
    <x v="4"/>
    <x v="4"/>
  </r>
  <r>
    <x v="19"/>
    <x v="55"/>
    <x v="1"/>
    <x v="9"/>
    <x v="9"/>
    <x v="1"/>
    <x v="7"/>
    <x v="3"/>
  </r>
  <r>
    <x v="19"/>
    <x v="55"/>
    <x v="2"/>
    <x v="11"/>
    <x v="11"/>
    <x v="1"/>
    <x v="0"/>
    <x v="9"/>
  </r>
  <r>
    <x v="19"/>
    <x v="55"/>
    <x v="2"/>
    <x v="33"/>
    <x v="33"/>
    <x v="2"/>
    <x v="11"/>
    <x v="42"/>
  </r>
  <r>
    <x v="19"/>
    <x v="55"/>
    <x v="3"/>
    <x v="23"/>
    <x v="23"/>
    <x v="1"/>
    <x v="5"/>
    <x v="6"/>
  </r>
  <r>
    <x v="20"/>
    <x v="56"/>
    <x v="0"/>
    <x v="24"/>
    <x v="24"/>
    <x v="1"/>
    <x v="8"/>
    <x v="17"/>
  </r>
  <r>
    <x v="20"/>
    <x v="56"/>
    <x v="0"/>
    <x v="0"/>
    <x v="0"/>
    <x v="16"/>
    <x v="0"/>
    <x v="55"/>
  </r>
  <r>
    <x v="20"/>
    <x v="56"/>
    <x v="0"/>
    <x v="25"/>
    <x v="25"/>
    <x v="1"/>
    <x v="9"/>
    <x v="18"/>
  </r>
  <r>
    <x v="20"/>
    <x v="56"/>
    <x v="4"/>
    <x v="27"/>
    <x v="27"/>
    <x v="2"/>
    <x v="10"/>
    <x v="21"/>
  </r>
  <r>
    <x v="20"/>
    <x v="56"/>
    <x v="1"/>
    <x v="20"/>
    <x v="20"/>
    <x v="1"/>
    <x v="4"/>
    <x v="4"/>
  </r>
  <r>
    <x v="20"/>
    <x v="56"/>
    <x v="1"/>
    <x v="2"/>
    <x v="2"/>
    <x v="1"/>
    <x v="2"/>
    <x v="2"/>
  </r>
  <r>
    <x v="20"/>
    <x v="56"/>
    <x v="1"/>
    <x v="3"/>
    <x v="3"/>
    <x v="1"/>
    <x v="3"/>
    <x v="14"/>
  </r>
  <r>
    <x v="20"/>
    <x v="56"/>
    <x v="1"/>
    <x v="21"/>
    <x v="21"/>
    <x v="1"/>
    <x v="4"/>
    <x v="4"/>
  </r>
  <r>
    <x v="20"/>
    <x v="56"/>
    <x v="1"/>
    <x v="4"/>
    <x v="4"/>
    <x v="1"/>
    <x v="4"/>
    <x v="4"/>
  </r>
  <r>
    <x v="20"/>
    <x v="56"/>
    <x v="1"/>
    <x v="7"/>
    <x v="7"/>
    <x v="1"/>
    <x v="6"/>
    <x v="33"/>
  </r>
  <r>
    <x v="20"/>
    <x v="56"/>
    <x v="1"/>
    <x v="8"/>
    <x v="8"/>
    <x v="5"/>
    <x v="5"/>
    <x v="19"/>
  </r>
  <r>
    <x v="20"/>
    <x v="56"/>
    <x v="2"/>
    <x v="51"/>
    <x v="51"/>
    <x v="1"/>
    <x v="12"/>
    <x v="22"/>
  </r>
  <r>
    <x v="20"/>
    <x v="56"/>
    <x v="2"/>
    <x v="33"/>
    <x v="33"/>
    <x v="1"/>
    <x v="11"/>
    <x v="29"/>
  </r>
  <r>
    <x v="20"/>
    <x v="56"/>
    <x v="3"/>
    <x v="23"/>
    <x v="23"/>
    <x v="3"/>
    <x v="5"/>
    <x v="11"/>
  </r>
  <r>
    <x v="20"/>
    <x v="56"/>
    <x v="3"/>
    <x v="26"/>
    <x v="26"/>
    <x v="1"/>
    <x v="5"/>
    <x v="6"/>
  </r>
  <r>
    <x v="20"/>
    <x v="56"/>
    <x v="3"/>
    <x v="37"/>
    <x v="37"/>
    <x v="1"/>
    <x v="5"/>
    <x v="6"/>
  </r>
  <r>
    <x v="20"/>
    <x v="56"/>
    <x v="3"/>
    <x v="14"/>
    <x v="14"/>
    <x v="2"/>
    <x v="5"/>
    <x v="10"/>
  </r>
  <r>
    <x v="20"/>
    <x v="56"/>
    <x v="3"/>
    <x v="15"/>
    <x v="15"/>
    <x v="2"/>
    <x v="5"/>
    <x v="10"/>
  </r>
  <r>
    <x v="20"/>
    <x v="56"/>
    <x v="3"/>
    <x v="17"/>
    <x v="17"/>
    <x v="1"/>
    <x v="5"/>
    <x v="6"/>
  </r>
  <r>
    <x v="20"/>
    <x v="57"/>
    <x v="0"/>
    <x v="0"/>
    <x v="0"/>
    <x v="6"/>
    <x v="0"/>
    <x v="44"/>
  </r>
  <r>
    <x v="20"/>
    <x v="57"/>
    <x v="1"/>
    <x v="2"/>
    <x v="2"/>
    <x v="1"/>
    <x v="2"/>
    <x v="2"/>
  </r>
  <r>
    <x v="20"/>
    <x v="57"/>
    <x v="1"/>
    <x v="3"/>
    <x v="3"/>
    <x v="1"/>
    <x v="3"/>
    <x v="14"/>
  </r>
  <r>
    <x v="20"/>
    <x v="57"/>
    <x v="1"/>
    <x v="4"/>
    <x v="4"/>
    <x v="2"/>
    <x v="4"/>
    <x v="5"/>
  </r>
  <r>
    <x v="20"/>
    <x v="57"/>
    <x v="1"/>
    <x v="6"/>
    <x v="6"/>
    <x v="1"/>
    <x v="5"/>
    <x v="6"/>
  </r>
  <r>
    <x v="20"/>
    <x v="57"/>
    <x v="1"/>
    <x v="7"/>
    <x v="7"/>
    <x v="1"/>
    <x v="6"/>
    <x v="33"/>
  </r>
  <r>
    <x v="20"/>
    <x v="57"/>
    <x v="1"/>
    <x v="8"/>
    <x v="8"/>
    <x v="5"/>
    <x v="5"/>
    <x v="19"/>
  </r>
  <r>
    <x v="20"/>
    <x v="57"/>
    <x v="5"/>
    <x v="42"/>
    <x v="42"/>
    <x v="1"/>
    <x v="13"/>
    <x v="27"/>
  </r>
  <r>
    <x v="20"/>
    <x v="57"/>
    <x v="2"/>
    <x v="11"/>
    <x v="11"/>
    <x v="1"/>
    <x v="0"/>
    <x v="9"/>
  </r>
  <r>
    <x v="20"/>
    <x v="57"/>
    <x v="3"/>
    <x v="13"/>
    <x v="13"/>
    <x v="2"/>
    <x v="5"/>
    <x v="10"/>
  </r>
  <r>
    <x v="20"/>
    <x v="57"/>
    <x v="3"/>
    <x v="37"/>
    <x v="37"/>
    <x v="1"/>
    <x v="5"/>
    <x v="6"/>
  </r>
  <r>
    <x v="20"/>
    <x v="57"/>
    <x v="3"/>
    <x v="14"/>
    <x v="14"/>
    <x v="2"/>
    <x v="5"/>
    <x v="10"/>
  </r>
  <r>
    <x v="20"/>
    <x v="57"/>
    <x v="3"/>
    <x v="15"/>
    <x v="15"/>
    <x v="2"/>
    <x v="5"/>
    <x v="10"/>
  </r>
  <r>
    <x v="20"/>
    <x v="57"/>
    <x v="3"/>
    <x v="17"/>
    <x v="17"/>
    <x v="1"/>
    <x v="5"/>
    <x v="6"/>
  </r>
  <r>
    <x v="21"/>
    <x v="58"/>
    <x v="0"/>
    <x v="0"/>
    <x v="0"/>
    <x v="13"/>
    <x v="0"/>
    <x v="60"/>
  </r>
  <r>
    <x v="21"/>
    <x v="58"/>
    <x v="0"/>
    <x v="38"/>
    <x v="38"/>
    <x v="1"/>
    <x v="12"/>
    <x v="22"/>
  </r>
  <r>
    <x v="21"/>
    <x v="58"/>
    <x v="0"/>
    <x v="25"/>
    <x v="25"/>
    <x v="1"/>
    <x v="9"/>
    <x v="18"/>
  </r>
  <r>
    <x v="21"/>
    <x v="58"/>
    <x v="1"/>
    <x v="56"/>
    <x v="56"/>
    <x v="1"/>
    <x v="5"/>
    <x v="6"/>
  </r>
  <r>
    <x v="21"/>
    <x v="58"/>
    <x v="1"/>
    <x v="2"/>
    <x v="2"/>
    <x v="2"/>
    <x v="2"/>
    <x v="30"/>
  </r>
  <r>
    <x v="21"/>
    <x v="58"/>
    <x v="1"/>
    <x v="3"/>
    <x v="3"/>
    <x v="1"/>
    <x v="3"/>
    <x v="14"/>
  </r>
  <r>
    <x v="21"/>
    <x v="58"/>
    <x v="1"/>
    <x v="36"/>
    <x v="36"/>
    <x v="2"/>
    <x v="2"/>
    <x v="30"/>
  </r>
  <r>
    <x v="21"/>
    <x v="58"/>
    <x v="1"/>
    <x v="4"/>
    <x v="4"/>
    <x v="1"/>
    <x v="4"/>
    <x v="4"/>
  </r>
  <r>
    <x v="21"/>
    <x v="58"/>
    <x v="1"/>
    <x v="7"/>
    <x v="7"/>
    <x v="5"/>
    <x v="6"/>
    <x v="43"/>
  </r>
  <r>
    <x v="21"/>
    <x v="58"/>
    <x v="1"/>
    <x v="8"/>
    <x v="8"/>
    <x v="5"/>
    <x v="5"/>
    <x v="19"/>
  </r>
  <r>
    <x v="21"/>
    <x v="58"/>
    <x v="1"/>
    <x v="68"/>
    <x v="68"/>
    <x v="1"/>
    <x v="2"/>
    <x v="2"/>
  </r>
  <r>
    <x v="21"/>
    <x v="58"/>
    <x v="1"/>
    <x v="22"/>
    <x v="22"/>
    <x v="1"/>
    <x v="4"/>
    <x v="4"/>
  </r>
  <r>
    <x v="21"/>
    <x v="58"/>
    <x v="2"/>
    <x v="51"/>
    <x v="51"/>
    <x v="1"/>
    <x v="12"/>
    <x v="22"/>
  </r>
  <r>
    <x v="21"/>
    <x v="58"/>
    <x v="2"/>
    <x v="47"/>
    <x v="47"/>
    <x v="2"/>
    <x v="12"/>
    <x v="16"/>
  </r>
  <r>
    <x v="21"/>
    <x v="58"/>
    <x v="2"/>
    <x v="33"/>
    <x v="33"/>
    <x v="4"/>
    <x v="11"/>
    <x v="61"/>
  </r>
  <r>
    <x v="21"/>
    <x v="58"/>
    <x v="3"/>
    <x v="23"/>
    <x v="23"/>
    <x v="6"/>
    <x v="5"/>
    <x v="16"/>
  </r>
  <r>
    <x v="21"/>
    <x v="58"/>
    <x v="3"/>
    <x v="37"/>
    <x v="37"/>
    <x v="5"/>
    <x v="5"/>
    <x v="19"/>
  </r>
  <r>
    <x v="21"/>
    <x v="58"/>
    <x v="3"/>
    <x v="14"/>
    <x v="14"/>
    <x v="2"/>
    <x v="5"/>
    <x v="10"/>
  </r>
  <r>
    <x v="21"/>
    <x v="58"/>
    <x v="3"/>
    <x v="15"/>
    <x v="15"/>
    <x v="5"/>
    <x v="5"/>
    <x v="19"/>
  </r>
  <r>
    <x v="21"/>
    <x v="58"/>
    <x v="3"/>
    <x v="16"/>
    <x v="16"/>
    <x v="2"/>
    <x v="5"/>
    <x v="10"/>
  </r>
  <r>
    <x v="21"/>
    <x v="58"/>
    <x v="3"/>
    <x v="19"/>
    <x v="19"/>
    <x v="1"/>
    <x v="5"/>
    <x v="6"/>
  </r>
  <r>
    <x v="22"/>
    <x v="59"/>
    <x v="0"/>
    <x v="0"/>
    <x v="0"/>
    <x v="10"/>
    <x v="0"/>
    <x v="35"/>
  </r>
  <r>
    <x v="22"/>
    <x v="59"/>
    <x v="1"/>
    <x v="20"/>
    <x v="20"/>
    <x v="1"/>
    <x v="4"/>
    <x v="4"/>
  </r>
  <r>
    <x v="22"/>
    <x v="59"/>
    <x v="1"/>
    <x v="2"/>
    <x v="2"/>
    <x v="2"/>
    <x v="2"/>
    <x v="30"/>
  </r>
  <r>
    <x v="22"/>
    <x v="59"/>
    <x v="1"/>
    <x v="21"/>
    <x v="21"/>
    <x v="1"/>
    <x v="4"/>
    <x v="4"/>
  </r>
  <r>
    <x v="22"/>
    <x v="59"/>
    <x v="1"/>
    <x v="5"/>
    <x v="5"/>
    <x v="2"/>
    <x v="4"/>
    <x v="5"/>
  </r>
  <r>
    <x v="22"/>
    <x v="59"/>
    <x v="1"/>
    <x v="6"/>
    <x v="6"/>
    <x v="5"/>
    <x v="5"/>
    <x v="19"/>
  </r>
  <r>
    <x v="22"/>
    <x v="59"/>
    <x v="1"/>
    <x v="7"/>
    <x v="7"/>
    <x v="5"/>
    <x v="6"/>
    <x v="43"/>
  </r>
  <r>
    <x v="22"/>
    <x v="59"/>
    <x v="1"/>
    <x v="8"/>
    <x v="8"/>
    <x v="5"/>
    <x v="5"/>
    <x v="19"/>
  </r>
  <r>
    <x v="22"/>
    <x v="59"/>
    <x v="2"/>
    <x v="33"/>
    <x v="33"/>
    <x v="1"/>
    <x v="11"/>
    <x v="29"/>
  </r>
  <r>
    <x v="22"/>
    <x v="59"/>
    <x v="3"/>
    <x v="23"/>
    <x v="23"/>
    <x v="1"/>
    <x v="5"/>
    <x v="6"/>
  </r>
  <r>
    <x v="22"/>
    <x v="59"/>
    <x v="3"/>
    <x v="37"/>
    <x v="37"/>
    <x v="5"/>
    <x v="5"/>
    <x v="19"/>
  </r>
  <r>
    <x v="22"/>
    <x v="59"/>
    <x v="3"/>
    <x v="15"/>
    <x v="15"/>
    <x v="1"/>
    <x v="5"/>
    <x v="6"/>
  </r>
  <r>
    <x v="22"/>
    <x v="59"/>
    <x v="3"/>
    <x v="19"/>
    <x v="19"/>
    <x v="1"/>
    <x v="5"/>
    <x v="6"/>
  </r>
  <r>
    <x v="23"/>
    <x v="60"/>
    <x v="0"/>
    <x v="0"/>
    <x v="0"/>
    <x v="17"/>
    <x v="0"/>
    <x v="57"/>
  </r>
  <r>
    <x v="23"/>
    <x v="60"/>
    <x v="1"/>
    <x v="30"/>
    <x v="30"/>
    <x v="1"/>
    <x v="4"/>
    <x v="4"/>
  </r>
  <r>
    <x v="23"/>
    <x v="60"/>
    <x v="1"/>
    <x v="2"/>
    <x v="2"/>
    <x v="5"/>
    <x v="2"/>
    <x v="13"/>
  </r>
  <r>
    <x v="23"/>
    <x v="60"/>
    <x v="1"/>
    <x v="4"/>
    <x v="4"/>
    <x v="1"/>
    <x v="4"/>
    <x v="4"/>
  </r>
  <r>
    <x v="23"/>
    <x v="60"/>
    <x v="1"/>
    <x v="5"/>
    <x v="5"/>
    <x v="1"/>
    <x v="4"/>
    <x v="4"/>
  </r>
  <r>
    <x v="23"/>
    <x v="60"/>
    <x v="1"/>
    <x v="6"/>
    <x v="6"/>
    <x v="2"/>
    <x v="5"/>
    <x v="10"/>
  </r>
  <r>
    <x v="23"/>
    <x v="60"/>
    <x v="1"/>
    <x v="7"/>
    <x v="7"/>
    <x v="5"/>
    <x v="6"/>
    <x v="43"/>
  </r>
  <r>
    <x v="23"/>
    <x v="60"/>
    <x v="1"/>
    <x v="8"/>
    <x v="8"/>
    <x v="5"/>
    <x v="5"/>
    <x v="19"/>
  </r>
  <r>
    <x v="23"/>
    <x v="60"/>
    <x v="1"/>
    <x v="22"/>
    <x v="22"/>
    <x v="1"/>
    <x v="4"/>
    <x v="4"/>
  </r>
  <r>
    <x v="23"/>
    <x v="60"/>
    <x v="5"/>
    <x v="42"/>
    <x v="42"/>
    <x v="1"/>
    <x v="13"/>
    <x v="27"/>
  </r>
  <r>
    <x v="23"/>
    <x v="60"/>
    <x v="3"/>
    <x v="23"/>
    <x v="23"/>
    <x v="2"/>
    <x v="5"/>
    <x v="10"/>
  </r>
  <r>
    <x v="23"/>
    <x v="60"/>
    <x v="3"/>
    <x v="14"/>
    <x v="14"/>
    <x v="1"/>
    <x v="5"/>
    <x v="6"/>
  </r>
  <r>
    <x v="23"/>
    <x v="60"/>
    <x v="3"/>
    <x v="15"/>
    <x v="15"/>
    <x v="5"/>
    <x v="5"/>
    <x v="19"/>
  </r>
  <r>
    <x v="23"/>
    <x v="60"/>
    <x v="3"/>
    <x v="58"/>
    <x v="58"/>
    <x v="1"/>
    <x v="5"/>
    <x v="6"/>
  </r>
  <r>
    <x v="23"/>
    <x v="60"/>
    <x v="3"/>
    <x v="19"/>
    <x v="19"/>
    <x v="1"/>
    <x v="5"/>
    <x v="6"/>
  </r>
  <r>
    <x v="23"/>
    <x v="61"/>
    <x v="0"/>
    <x v="0"/>
    <x v="0"/>
    <x v="4"/>
    <x v="0"/>
    <x v="12"/>
  </r>
  <r>
    <x v="23"/>
    <x v="61"/>
    <x v="0"/>
    <x v="25"/>
    <x v="25"/>
    <x v="1"/>
    <x v="9"/>
    <x v="18"/>
  </r>
  <r>
    <x v="23"/>
    <x v="61"/>
    <x v="1"/>
    <x v="20"/>
    <x v="20"/>
    <x v="1"/>
    <x v="4"/>
    <x v="4"/>
  </r>
  <r>
    <x v="23"/>
    <x v="61"/>
    <x v="1"/>
    <x v="2"/>
    <x v="2"/>
    <x v="2"/>
    <x v="2"/>
    <x v="30"/>
  </r>
  <r>
    <x v="23"/>
    <x v="61"/>
    <x v="1"/>
    <x v="46"/>
    <x v="46"/>
    <x v="1"/>
    <x v="4"/>
    <x v="4"/>
  </r>
  <r>
    <x v="23"/>
    <x v="61"/>
    <x v="1"/>
    <x v="36"/>
    <x v="36"/>
    <x v="1"/>
    <x v="2"/>
    <x v="2"/>
  </r>
  <r>
    <x v="23"/>
    <x v="61"/>
    <x v="1"/>
    <x v="4"/>
    <x v="4"/>
    <x v="1"/>
    <x v="4"/>
    <x v="4"/>
  </r>
  <r>
    <x v="23"/>
    <x v="61"/>
    <x v="1"/>
    <x v="5"/>
    <x v="5"/>
    <x v="1"/>
    <x v="4"/>
    <x v="4"/>
  </r>
  <r>
    <x v="23"/>
    <x v="61"/>
    <x v="1"/>
    <x v="6"/>
    <x v="6"/>
    <x v="2"/>
    <x v="5"/>
    <x v="10"/>
  </r>
  <r>
    <x v="23"/>
    <x v="61"/>
    <x v="1"/>
    <x v="32"/>
    <x v="32"/>
    <x v="1"/>
    <x v="7"/>
    <x v="3"/>
  </r>
  <r>
    <x v="23"/>
    <x v="61"/>
    <x v="1"/>
    <x v="7"/>
    <x v="7"/>
    <x v="1"/>
    <x v="6"/>
    <x v="33"/>
  </r>
  <r>
    <x v="23"/>
    <x v="61"/>
    <x v="1"/>
    <x v="8"/>
    <x v="8"/>
    <x v="2"/>
    <x v="5"/>
    <x v="10"/>
  </r>
  <r>
    <x v="23"/>
    <x v="61"/>
    <x v="1"/>
    <x v="22"/>
    <x v="22"/>
    <x v="1"/>
    <x v="4"/>
    <x v="4"/>
  </r>
  <r>
    <x v="23"/>
    <x v="61"/>
    <x v="3"/>
    <x v="23"/>
    <x v="23"/>
    <x v="2"/>
    <x v="5"/>
    <x v="10"/>
  </r>
  <r>
    <x v="23"/>
    <x v="61"/>
    <x v="3"/>
    <x v="34"/>
    <x v="34"/>
    <x v="1"/>
    <x v="5"/>
    <x v="6"/>
  </r>
  <r>
    <x v="23"/>
    <x v="61"/>
    <x v="3"/>
    <x v="58"/>
    <x v="58"/>
    <x v="5"/>
    <x v="5"/>
    <x v="19"/>
  </r>
  <r>
    <x v="23"/>
    <x v="62"/>
    <x v="0"/>
    <x v="24"/>
    <x v="24"/>
    <x v="1"/>
    <x v="8"/>
    <x v="17"/>
  </r>
  <r>
    <x v="23"/>
    <x v="62"/>
    <x v="0"/>
    <x v="0"/>
    <x v="0"/>
    <x v="2"/>
    <x v="0"/>
    <x v="49"/>
  </r>
  <r>
    <x v="23"/>
    <x v="62"/>
    <x v="0"/>
    <x v="55"/>
    <x v="55"/>
    <x v="1"/>
    <x v="16"/>
    <x v="41"/>
  </r>
  <r>
    <x v="23"/>
    <x v="62"/>
    <x v="0"/>
    <x v="39"/>
    <x v="69"/>
    <x v="1"/>
    <x v="19"/>
    <x v="62"/>
  </r>
  <r>
    <x v="23"/>
    <x v="62"/>
    <x v="0"/>
    <x v="40"/>
    <x v="40"/>
    <x v="1"/>
    <x v="5"/>
    <x v="6"/>
  </r>
  <r>
    <x v="23"/>
    <x v="62"/>
    <x v="4"/>
    <x v="27"/>
    <x v="27"/>
    <x v="1"/>
    <x v="10"/>
    <x v="28"/>
  </r>
  <r>
    <x v="23"/>
    <x v="62"/>
    <x v="4"/>
    <x v="69"/>
    <x v="70"/>
    <x v="1"/>
    <x v="5"/>
    <x v="6"/>
  </r>
  <r>
    <x v="23"/>
    <x v="62"/>
    <x v="1"/>
    <x v="29"/>
    <x v="29"/>
    <x v="1"/>
    <x v="4"/>
    <x v="4"/>
  </r>
  <r>
    <x v="23"/>
    <x v="62"/>
    <x v="1"/>
    <x v="56"/>
    <x v="56"/>
    <x v="1"/>
    <x v="5"/>
    <x v="6"/>
  </r>
  <r>
    <x v="23"/>
    <x v="62"/>
    <x v="1"/>
    <x v="7"/>
    <x v="7"/>
    <x v="1"/>
    <x v="6"/>
    <x v="33"/>
  </r>
  <r>
    <x v="23"/>
    <x v="62"/>
    <x v="1"/>
    <x v="8"/>
    <x v="8"/>
    <x v="1"/>
    <x v="5"/>
    <x v="6"/>
  </r>
  <r>
    <x v="23"/>
    <x v="62"/>
    <x v="1"/>
    <x v="64"/>
    <x v="64"/>
    <x v="1"/>
    <x v="5"/>
    <x v="6"/>
  </r>
  <r>
    <x v="23"/>
    <x v="62"/>
    <x v="3"/>
    <x v="23"/>
    <x v="23"/>
    <x v="2"/>
    <x v="5"/>
    <x v="10"/>
  </r>
  <r>
    <x v="23"/>
    <x v="62"/>
    <x v="3"/>
    <x v="14"/>
    <x v="14"/>
    <x v="1"/>
    <x v="5"/>
    <x v="6"/>
  </r>
  <r>
    <x v="23"/>
    <x v="62"/>
    <x v="3"/>
    <x v="15"/>
    <x v="15"/>
    <x v="1"/>
    <x v="5"/>
    <x v="6"/>
  </r>
  <r>
    <x v="23"/>
    <x v="62"/>
    <x v="3"/>
    <x v="17"/>
    <x v="17"/>
    <x v="1"/>
    <x v="5"/>
    <x v="6"/>
  </r>
  <r>
    <x v="24"/>
    <x v="63"/>
    <x v="0"/>
    <x v="0"/>
    <x v="0"/>
    <x v="8"/>
    <x v="0"/>
    <x v="38"/>
  </r>
  <r>
    <x v="24"/>
    <x v="63"/>
    <x v="4"/>
    <x v="27"/>
    <x v="27"/>
    <x v="1"/>
    <x v="10"/>
    <x v="28"/>
  </r>
  <r>
    <x v="24"/>
    <x v="63"/>
    <x v="1"/>
    <x v="28"/>
    <x v="28"/>
    <x v="1"/>
    <x v="4"/>
    <x v="4"/>
  </r>
  <r>
    <x v="24"/>
    <x v="63"/>
    <x v="1"/>
    <x v="2"/>
    <x v="2"/>
    <x v="1"/>
    <x v="2"/>
    <x v="2"/>
  </r>
  <r>
    <x v="24"/>
    <x v="63"/>
    <x v="1"/>
    <x v="7"/>
    <x v="7"/>
    <x v="5"/>
    <x v="6"/>
    <x v="43"/>
  </r>
  <r>
    <x v="24"/>
    <x v="63"/>
    <x v="1"/>
    <x v="8"/>
    <x v="8"/>
    <x v="1"/>
    <x v="5"/>
    <x v="6"/>
  </r>
  <r>
    <x v="24"/>
    <x v="63"/>
    <x v="1"/>
    <x v="9"/>
    <x v="9"/>
    <x v="5"/>
    <x v="7"/>
    <x v="22"/>
  </r>
  <r>
    <x v="24"/>
    <x v="63"/>
    <x v="2"/>
    <x v="47"/>
    <x v="47"/>
    <x v="1"/>
    <x v="12"/>
    <x v="22"/>
  </r>
  <r>
    <x v="24"/>
    <x v="63"/>
    <x v="2"/>
    <x v="33"/>
    <x v="33"/>
    <x v="7"/>
    <x v="11"/>
    <x v="63"/>
  </r>
  <r>
    <x v="24"/>
    <x v="63"/>
    <x v="3"/>
    <x v="23"/>
    <x v="23"/>
    <x v="4"/>
    <x v="5"/>
    <x v="31"/>
  </r>
  <r>
    <x v="24"/>
    <x v="63"/>
    <x v="3"/>
    <x v="15"/>
    <x v="15"/>
    <x v="1"/>
    <x v="5"/>
    <x v="6"/>
  </r>
  <r>
    <x v="24"/>
    <x v="64"/>
    <x v="4"/>
    <x v="27"/>
    <x v="27"/>
    <x v="1"/>
    <x v="10"/>
    <x v="28"/>
  </r>
  <r>
    <x v="24"/>
    <x v="64"/>
    <x v="5"/>
    <x v="42"/>
    <x v="42"/>
    <x v="1"/>
    <x v="13"/>
    <x v="27"/>
  </r>
  <r>
    <x v="24"/>
    <x v="65"/>
    <x v="0"/>
    <x v="24"/>
    <x v="24"/>
    <x v="1"/>
    <x v="8"/>
    <x v="17"/>
  </r>
  <r>
    <x v="24"/>
    <x v="65"/>
    <x v="0"/>
    <x v="0"/>
    <x v="0"/>
    <x v="9"/>
    <x v="0"/>
    <x v="26"/>
  </r>
  <r>
    <x v="24"/>
    <x v="65"/>
    <x v="0"/>
    <x v="39"/>
    <x v="69"/>
    <x v="1"/>
    <x v="19"/>
    <x v="62"/>
  </r>
  <r>
    <x v="24"/>
    <x v="65"/>
    <x v="0"/>
    <x v="40"/>
    <x v="40"/>
    <x v="1"/>
    <x v="5"/>
    <x v="6"/>
  </r>
  <r>
    <x v="24"/>
    <x v="65"/>
    <x v="4"/>
    <x v="70"/>
    <x v="71"/>
    <x v="1"/>
    <x v="5"/>
    <x v="6"/>
  </r>
  <r>
    <x v="24"/>
    <x v="65"/>
    <x v="4"/>
    <x v="69"/>
    <x v="72"/>
    <x v="1"/>
    <x v="20"/>
    <x v="10"/>
  </r>
  <r>
    <x v="24"/>
    <x v="65"/>
    <x v="1"/>
    <x v="30"/>
    <x v="30"/>
    <x v="2"/>
    <x v="4"/>
    <x v="5"/>
  </r>
  <r>
    <x v="24"/>
    <x v="65"/>
    <x v="1"/>
    <x v="2"/>
    <x v="2"/>
    <x v="5"/>
    <x v="2"/>
    <x v="13"/>
  </r>
  <r>
    <x v="24"/>
    <x v="65"/>
    <x v="1"/>
    <x v="4"/>
    <x v="4"/>
    <x v="1"/>
    <x v="4"/>
    <x v="4"/>
  </r>
  <r>
    <x v="24"/>
    <x v="65"/>
    <x v="1"/>
    <x v="5"/>
    <x v="5"/>
    <x v="2"/>
    <x v="4"/>
    <x v="5"/>
  </r>
  <r>
    <x v="24"/>
    <x v="65"/>
    <x v="1"/>
    <x v="6"/>
    <x v="6"/>
    <x v="1"/>
    <x v="5"/>
    <x v="6"/>
  </r>
  <r>
    <x v="24"/>
    <x v="65"/>
    <x v="1"/>
    <x v="7"/>
    <x v="7"/>
    <x v="2"/>
    <x v="6"/>
    <x v="15"/>
  </r>
  <r>
    <x v="24"/>
    <x v="65"/>
    <x v="1"/>
    <x v="8"/>
    <x v="8"/>
    <x v="2"/>
    <x v="5"/>
    <x v="10"/>
  </r>
  <r>
    <x v="24"/>
    <x v="65"/>
    <x v="3"/>
    <x v="23"/>
    <x v="23"/>
    <x v="2"/>
    <x v="5"/>
    <x v="10"/>
  </r>
  <r>
    <x v="24"/>
    <x v="65"/>
    <x v="3"/>
    <x v="14"/>
    <x v="14"/>
    <x v="3"/>
    <x v="5"/>
    <x v="11"/>
  </r>
  <r>
    <x v="24"/>
    <x v="65"/>
    <x v="3"/>
    <x v="34"/>
    <x v="34"/>
    <x v="1"/>
    <x v="5"/>
    <x v="6"/>
  </r>
  <r>
    <x v="24"/>
    <x v="65"/>
    <x v="3"/>
    <x v="15"/>
    <x v="15"/>
    <x v="1"/>
    <x v="5"/>
    <x v="6"/>
  </r>
  <r>
    <x v="24"/>
    <x v="65"/>
    <x v="3"/>
    <x v="58"/>
    <x v="58"/>
    <x v="1"/>
    <x v="5"/>
    <x v="6"/>
  </r>
  <r>
    <x v="24"/>
    <x v="65"/>
    <x v="3"/>
    <x v="17"/>
    <x v="17"/>
    <x v="2"/>
    <x v="5"/>
    <x v="10"/>
  </r>
  <r>
    <x v="24"/>
    <x v="65"/>
    <x v="3"/>
    <x v="18"/>
    <x v="18"/>
    <x v="1"/>
    <x v="5"/>
    <x v="6"/>
  </r>
  <r>
    <x v="24"/>
    <x v="66"/>
    <x v="0"/>
    <x v="0"/>
    <x v="0"/>
    <x v="5"/>
    <x v="0"/>
    <x v="17"/>
  </r>
  <r>
    <x v="24"/>
    <x v="66"/>
    <x v="4"/>
    <x v="27"/>
    <x v="27"/>
    <x v="1"/>
    <x v="10"/>
    <x v="28"/>
  </r>
  <r>
    <x v="24"/>
    <x v="66"/>
    <x v="1"/>
    <x v="30"/>
    <x v="30"/>
    <x v="1"/>
    <x v="4"/>
    <x v="4"/>
  </r>
  <r>
    <x v="24"/>
    <x v="66"/>
    <x v="1"/>
    <x v="2"/>
    <x v="2"/>
    <x v="1"/>
    <x v="2"/>
    <x v="2"/>
  </r>
  <r>
    <x v="24"/>
    <x v="66"/>
    <x v="3"/>
    <x v="23"/>
    <x v="23"/>
    <x v="2"/>
    <x v="5"/>
    <x v="10"/>
  </r>
  <r>
    <x v="24"/>
    <x v="66"/>
    <x v="3"/>
    <x v="37"/>
    <x v="37"/>
    <x v="2"/>
    <x v="5"/>
    <x v="10"/>
  </r>
  <r>
    <x v="24"/>
    <x v="66"/>
    <x v="3"/>
    <x v="14"/>
    <x v="14"/>
    <x v="1"/>
    <x v="5"/>
    <x v="6"/>
  </r>
  <r>
    <x v="24"/>
    <x v="66"/>
    <x v="3"/>
    <x v="15"/>
    <x v="15"/>
    <x v="1"/>
    <x v="5"/>
    <x v="6"/>
  </r>
  <r>
    <x v="25"/>
    <x v="67"/>
    <x v="4"/>
    <x v="27"/>
    <x v="27"/>
    <x v="1"/>
    <x v="10"/>
    <x v="28"/>
  </r>
  <r>
    <x v="25"/>
    <x v="68"/>
    <x v="0"/>
    <x v="0"/>
    <x v="0"/>
    <x v="15"/>
    <x v="0"/>
    <x v="48"/>
  </r>
  <r>
    <x v="25"/>
    <x v="68"/>
    <x v="0"/>
    <x v="25"/>
    <x v="25"/>
    <x v="1"/>
    <x v="9"/>
    <x v="18"/>
  </r>
  <r>
    <x v="25"/>
    <x v="68"/>
    <x v="1"/>
    <x v="56"/>
    <x v="56"/>
    <x v="1"/>
    <x v="5"/>
    <x v="6"/>
  </r>
  <r>
    <x v="25"/>
    <x v="68"/>
    <x v="1"/>
    <x v="35"/>
    <x v="35"/>
    <x v="1"/>
    <x v="3"/>
    <x v="14"/>
  </r>
  <r>
    <x v="25"/>
    <x v="68"/>
    <x v="1"/>
    <x v="3"/>
    <x v="3"/>
    <x v="1"/>
    <x v="3"/>
    <x v="14"/>
  </r>
  <r>
    <x v="25"/>
    <x v="68"/>
    <x v="1"/>
    <x v="4"/>
    <x v="4"/>
    <x v="1"/>
    <x v="4"/>
    <x v="4"/>
  </r>
  <r>
    <x v="25"/>
    <x v="68"/>
    <x v="1"/>
    <x v="7"/>
    <x v="7"/>
    <x v="5"/>
    <x v="6"/>
    <x v="43"/>
  </r>
  <r>
    <x v="25"/>
    <x v="68"/>
    <x v="1"/>
    <x v="8"/>
    <x v="8"/>
    <x v="4"/>
    <x v="5"/>
    <x v="31"/>
  </r>
  <r>
    <x v="25"/>
    <x v="68"/>
    <x v="5"/>
    <x v="42"/>
    <x v="42"/>
    <x v="1"/>
    <x v="13"/>
    <x v="27"/>
  </r>
  <r>
    <x v="25"/>
    <x v="68"/>
    <x v="3"/>
    <x v="23"/>
    <x v="23"/>
    <x v="5"/>
    <x v="5"/>
    <x v="19"/>
  </r>
  <r>
    <x v="25"/>
    <x v="68"/>
    <x v="3"/>
    <x v="14"/>
    <x v="14"/>
    <x v="1"/>
    <x v="5"/>
    <x v="6"/>
  </r>
  <r>
    <x v="25"/>
    <x v="68"/>
    <x v="3"/>
    <x v="15"/>
    <x v="15"/>
    <x v="2"/>
    <x v="5"/>
    <x v="10"/>
  </r>
  <r>
    <x v="25"/>
    <x v="68"/>
    <x v="3"/>
    <x v="58"/>
    <x v="58"/>
    <x v="2"/>
    <x v="5"/>
    <x v="10"/>
  </r>
  <r>
    <x v="25"/>
    <x v="69"/>
    <x v="0"/>
    <x v="0"/>
    <x v="0"/>
    <x v="2"/>
    <x v="0"/>
    <x v="49"/>
  </r>
  <r>
    <x v="25"/>
    <x v="69"/>
    <x v="0"/>
    <x v="25"/>
    <x v="25"/>
    <x v="1"/>
    <x v="9"/>
    <x v="18"/>
  </r>
  <r>
    <x v="25"/>
    <x v="69"/>
    <x v="0"/>
    <x v="1"/>
    <x v="1"/>
    <x v="1"/>
    <x v="1"/>
    <x v="1"/>
  </r>
  <r>
    <x v="25"/>
    <x v="69"/>
    <x v="0"/>
    <x v="71"/>
    <x v="73"/>
    <x v="1"/>
    <x v="21"/>
    <x v="49"/>
  </r>
  <r>
    <x v="25"/>
    <x v="69"/>
    <x v="4"/>
    <x v="27"/>
    <x v="27"/>
    <x v="1"/>
    <x v="10"/>
    <x v="28"/>
  </r>
  <r>
    <x v="25"/>
    <x v="69"/>
    <x v="1"/>
    <x v="72"/>
    <x v="74"/>
    <x v="1"/>
    <x v="3"/>
    <x v="14"/>
  </r>
  <r>
    <x v="25"/>
    <x v="69"/>
    <x v="1"/>
    <x v="6"/>
    <x v="6"/>
    <x v="1"/>
    <x v="5"/>
    <x v="6"/>
  </r>
  <r>
    <x v="25"/>
    <x v="69"/>
    <x v="1"/>
    <x v="7"/>
    <x v="7"/>
    <x v="1"/>
    <x v="6"/>
    <x v="33"/>
  </r>
  <r>
    <x v="25"/>
    <x v="69"/>
    <x v="2"/>
    <x v="47"/>
    <x v="47"/>
    <x v="1"/>
    <x v="12"/>
    <x v="22"/>
  </r>
  <r>
    <x v="25"/>
    <x v="69"/>
    <x v="2"/>
    <x v="33"/>
    <x v="33"/>
    <x v="2"/>
    <x v="11"/>
    <x v="42"/>
  </r>
  <r>
    <x v="25"/>
    <x v="69"/>
    <x v="3"/>
    <x v="23"/>
    <x v="23"/>
    <x v="2"/>
    <x v="5"/>
    <x v="10"/>
  </r>
  <r>
    <x v="25"/>
    <x v="69"/>
    <x v="3"/>
    <x v="14"/>
    <x v="14"/>
    <x v="1"/>
    <x v="5"/>
    <x v="6"/>
  </r>
  <r>
    <x v="25"/>
    <x v="69"/>
    <x v="3"/>
    <x v="18"/>
    <x v="18"/>
    <x v="1"/>
    <x v="5"/>
    <x v="6"/>
  </r>
  <r>
    <x v="25"/>
    <x v="70"/>
    <x v="4"/>
    <x v="27"/>
    <x v="27"/>
    <x v="1"/>
    <x v="10"/>
    <x v="28"/>
  </r>
  <r>
    <x v="25"/>
    <x v="70"/>
    <x v="3"/>
    <x v="14"/>
    <x v="14"/>
    <x v="1"/>
    <x v="5"/>
    <x v="6"/>
  </r>
  <r>
    <x v="25"/>
    <x v="71"/>
    <x v="0"/>
    <x v="24"/>
    <x v="24"/>
    <x v="1"/>
    <x v="8"/>
    <x v="17"/>
  </r>
  <r>
    <x v="25"/>
    <x v="71"/>
    <x v="2"/>
    <x v="54"/>
    <x v="54"/>
    <x v="1"/>
    <x v="12"/>
    <x v="22"/>
  </r>
  <r>
    <x v="25"/>
    <x v="71"/>
    <x v="2"/>
    <x v="33"/>
    <x v="33"/>
    <x v="1"/>
    <x v="11"/>
    <x v="29"/>
  </r>
  <r>
    <x v="25"/>
    <x v="71"/>
    <x v="3"/>
    <x v="23"/>
    <x v="23"/>
    <x v="1"/>
    <x v="5"/>
    <x v="6"/>
  </r>
  <r>
    <x v="25"/>
    <x v="71"/>
    <x v="3"/>
    <x v="17"/>
    <x v="17"/>
    <x v="1"/>
    <x v="5"/>
    <x v="6"/>
  </r>
  <r>
    <x v="26"/>
    <x v="72"/>
    <x v="4"/>
    <x v="27"/>
    <x v="27"/>
    <x v="1"/>
    <x v="10"/>
    <x v="28"/>
  </r>
  <r>
    <x v="26"/>
    <x v="72"/>
    <x v="1"/>
    <x v="73"/>
    <x v="75"/>
    <x v="13"/>
    <x v="4"/>
    <x v="64"/>
  </r>
  <r>
    <x v="26"/>
    <x v="72"/>
    <x v="1"/>
    <x v="7"/>
    <x v="7"/>
    <x v="5"/>
    <x v="6"/>
    <x v="43"/>
  </r>
  <r>
    <x v="26"/>
    <x v="72"/>
    <x v="1"/>
    <x v="49"/>
    <x v="49"/>
    <x v="11"/>
    <x v="4"/>
    <x v="37"/>
  </r>
  <r>
    <x v="26"/>
    <x v="72"/>
    <x v="5"/>
    <x v="42"/>
    <x v="42"/>
    <x v="1"/>
    <x v="13"/>
    <x v="27"/>
  </r>
  <r>
    <x v="26"/>
    <x v="72"/>
    <x v="3"/>
    <x v="13"/>
    <x v="13"/>
    <x v="1"/>
    <x v="5"/>
    <x v="6"/>
  </r>
  <r>
    <x v="26"/>
    <x v="73"/>
    <x v="0"/>
    <x v="0"/>
    <x v="0"/>
    <x v="3"/>
    <x v="0"/>
    <x v="34"/>
  </r>
  <r>
    <x v="26"/>
    <x v="73"/>
    <x v="4"/>
    <x v="27"/>
    <x v="27"/>
    <x v="1"/>
    <x v="10"/>
    <x v="28"/>
  </r>
  <r>
    <x v="26"/>
    <x v="73"/>
    <x v="1"/>
    <x v="8"/>
    <x v="8"/>
    <x v="1"/>
    <x v="5"/>
    <x v="6"/>
  </r>
  <r>
    <x v="26"/>
    <x v="74"/>
    <x v="0"/>
    <x v="0"/>
    <x v="0"/>
    <x v="7"/>
    <x v="0"/>
    <x v="20"/>
  </r>
  <r>
    <x v="26"/>
    <x v="74"/>
    <x v="0"/>
    <x v="38"/>
    <x v="38"/>
    <x v="1"/>
    <x v="12"/>
    <x v="22"/>
  </r>
  <r>
    <x v="26"/>
    <x v="74"/>
    <x v="1"/>
    <x v="8"/>
    <x v="8"/>
    <x v="1"/>
    <x v="5"/>
    <x v="6"/>
  </r>
  <r>
    <x v="26"/>
    <x v="74"/>
    <x v="2"/>
    <x v="47"/>
    <x v="47"/>
    <x v="1"/>
    <x v="12"/>
    <x v="22"/>
  </r>
  <r>
    <x v="26"/>
    <x v="74"/>
    <x v="2"/>
    <x v="33"/>
    <x v="33"/>
    <x v="1"/>
    <x v="11"/>
    <x v="29"/>
  </r>
  <r>
    <x v="26"/>
    <x v="74"/>
    <x v="3"/>
    <x v="23"/>
    <x v="23"/>
    <x v="3"/>
    <x v="5"/>
    <x v="11"/>
  </r>
  <r>
    <x v="26"/>
    <x v="74"/>
    <x v="3"/>
    <x v="15"/>
    <x v="15"/>
    <x v="1"/>
    <x v="5"/>
    <x v="6"/>
  </r>
  <r>
    <x v="26"/>
    <x v="74"/>
    <x v="3"/>
    <x v="58"/>
    <x v="58"/>
    <x v="1"/>
    <x v="5"/>
    <x v="6"/>
  </r>
  <r>
    <x v="26"/>
    <x v="75"/>
    <x v="0"/>
    <x v="0"/>
    <x v="0"/>
    <x v="7"/>
    <x v="0"/>
    <x v="20"/>
  </r>
  <r>
    <x v="26"/>
    <x v="75"/>
    <x v="0"/>
    <x v="1"/>
    <x v="1"/>
    <x v="1"/>
    <x v="1"/>
    <x v="1"/>
  </r>
  <r>
    <x v="26"/>
    <x v="75"/>
    <x v="4"/>
    <x v="27"/>
    <x v="27"/>
    <x v="1"/>
    <x v="10"/>
    <x v="28"/>
  </r>
  <r>
    <x v="26"/>
    <x v="75"/>
    <x v="1"/>
    <x v="29"/>
    <x v="29"/>
    <x v="1"/>
    <x v="4"/>
    <x v="4"/>
  </r>
  <r>
    <x v="26"/>
    <x v="75"/>
    <x v="1"/>
    <x v="20"/>
    <x v="20"/>
    <x v="1"/>
    <x v="4"/>
    <x v="4"/>
  </r>
  <r>
    <x v="26"/>
    <x v="75"/>
    <x v="1"/>
    <x v="30"/>
    <x v="30"/>
    <x v="1"/>
    <x v="4"/>
    <x v="4"/>
  </r>
  <r>
    <x v="26"/>
    <x v="75"/>
    <x v="1"/>
    <x v="2"/>
    <x v="2"/>
    <x v="1"/>
    <x v="2"/>
    <x v="2"/>
  </r>
  <r>
    <x v="26"/>
    <x v="75"/>
    <x v="1"/>
    <x v="31"/>
    <x v="31"/>
    <x v="2"/>
    <x v="4"/>
    <x v="5"/>
  </r>
  <r>
    <x v="26"/>
    <x v="75"/>
    <x v="1"/>
    <x v="32"/>
    <x v="32"/>
    <x v="1"/>
    <x v="7"/>
    <x v="3"/>
  </r>
  <r>
    <x v="26"/>
    <x v="75"/>
    <x v="1"/>
    <x v="7"/>
    <x v="7"/>
    <x v="2"/>
    <x v="6"/>
    <x v="15"/>
  </r>
  <r>
    <x v="26"/>
    <x v="75"/>
    <x v="2"/>
    <x v="54"/>
    <x v="54"/>
    <x v="1"/>
    <x v="12"/>
    <x v="22"/>
  </r>
  <r>
    <x v="26"/>
    <x v="75"/>
    <x v="2"/>
    <x v="47"/>
    <x v="47"/>
    <x v="1"/>
    <x v="12"/>
    <x v="22"/>
  </r>
  <r>
    <x v="26"/>
    <x v="75"/>
    <x v="2"/>
    <x v="33"/>
    <x v="33"/>
    <x v="2"/>
    <x v="11"/>
    <x v="42"/>
  </r>
  <r>
    <x v="26"/>
    <x v="75"/>
    <x v="3"/>
    <x v="23"/>
    <x v="23"/>
    <x v="1"/>
    <x v="5"/>
    <x v="6"/>
  </r>
  <r>
    <x v="26"/>
    <x v="75"/>
    <x v="3"/>
    <x v="13"/>
    <x v="13"/>
    <x v="1"/>
    <x v="5"/>
    <x v="6"/>
  </r>
  <r>
    <x v="26"/>
    <x v="75"/>
    <x v="3"/>
    <x v="14"/>
    <x v="14"/>
    <x v="5"/>
    <x v="5"/>
    <x v="19"/>
  </r>
  <r>
    <x v="26"/>
    <x v="75"/>
    <x v="3"/>
    <x v="17"/>
    <x v="17"/>
    <x v="1"/>
    <x v="5"/>
    <x v="6"/>
  </r>
  <r>
    <x v="26"/>
    <x v="76"/>
    <x v="0"/>
    <x v="0"/>
    <x v="0"/>
    <x v="5"/>
    <x v="0"/>
    <x v="17"/>
  </r>
  <r>
    <x v="26"/>
    <x v="76"/>
    <x v="0"/>
    <x v="25"/>
    <x v="25"/>
    <x v="1"/>
    <x v="9"/>
    <x v="18"/>
  </r>
  <r>
    <x v="26"/>
    <x v="76"/>
    <x v="1"/>
    <x v="32"/>
    <x v="32"/>
    <x v="1"/>
    <x v="7"/>
    <x v="3"/>
  </r>
  <r>
    <x v="26"/>
    <x v="76"/>
    <x v="1"/>
    <x v="7"/>
    <x v="7"/>
    <x v="1"/>
    <x v="6"/>
    <x v="33"/>
  </r>
  <r>
    <x v="26"/>
    <x v="76"/>
    <x v="3"/>
    <x v="23"/>
    <x v="23"/>
    <x v="2"/>
    <x v="5"/>
    <x v="10"/>
  </r>
  <r>
    <x v="26"/>
    <x v="76"/>
    <x v="3"/>
    <x v="26"/>
    <x v="26"/>
    <x v="1"/>
    <x v="5"/>
    <x v="6"/>
  </r>
  <r>
    <x v="26"/>
    <x v="76"/>
    <x v="3"/>
    <x v="14"/>
    <x v="14"/>
    <x v="2"/>
    <x v="5"/>
    <x v="10"/>
  </r>
  <r>
    <x v="26"/>
    <x v="76"/>
    <x v="3"/>
    <x v="17"/>
    <x v="17"/>
    <x v="1"/>
    <x v="5"/>
    <x v="6"/>
  </r>
  <r>
    <x v="27"/>
    <x v="77"/>
    <x v="0"/>
    <x v="0"/>
    <x v="0"/>
    <x v="16"/>
    <x v="0"/>
    <x v="55"/>
  </r>
  <r>
    <x v="27"/>
    <x v="77"/>
    <x v="1"/>
    <x v="28"/>
    <x v="28"/>
    <x v="1"/>
    <x v="4"/>
    <x v="4"/>
  </r>
  <r>
    <x v="27"/>
    <x v="77"/>
    <x v="1"/>
    <x v="29"/>
    <x v="29"/>
    <x v="1"/>
    <x v="4"/>
    <x v="4"/>
  </r>
  <r>
    <x v="27"/>
    <x v="77"/>
    <x v="1"/>
    <x v="20"/>
    <x v="20"/>
    <x v="2"/>
    <x v="4"/>
    <x v="5"/>
  </r>
  <r>
    <x v="27"/>
    <x v="77"/>
    <x v="1"/>
    <x v="2"/>
    <x v="2"/>
    <x v="1"/>
    <x v="2"/>
    <x v="2"/>
  </r>
  <r>
    <x v="27"/>
    <x v="77"/>
    <x v="1"/>
    <x v="35"/>
    <x v="35"/>
    <x v="1"/>
    <x v="3"/>
    <x v="14"/>
  </r>
  <r>
    <x v="27"/>
    <x v="77"/>
    <x v="1"/>
    <x v="66"/>
    <x v="66"/>
    <x v="1"/>
    <x v="2"/>
    <x v="2"/>
  </r>
  <r>
    <x v="27"/>
    <x v="77"/>
    <x v="1"/>
    <x v="7"/>
    <x v="7"/>
    <x v="1"/>
    <x v="6"/>
    <x v="33"/>
  </r>
  <r>
    <x v="27"/>
    <x v="77"/>
    <x v="1"/>
    <x v="8"/>
    <x v="8"/>
    <x v="8"/>
    <x v="5"/>
    <x v="23"/>
  </r>
  <r>
    <x v="27"/>
    <x v="77"/>
    <x v="5"/>
    <x v="42"/>
    <x v="42"/>
    <x v="1"/>
    <x v="13"/>
    <x v="27"/>
  </r>
  <r>
    <x v="27"/>
    <x v="77"/>
    <x v="2"/>
    <x v="33"/>
    <x v="33"/>
    <x v="2"/>
    <x v="11"/>
    <x v="42"/>
  </r>
  <r>
    <x v="27"/>
    <x v="77"/>
    <x v="3"/>
    <x v="23"/>
    <x v="23"/>
    <x v="7"/>
    <x v="5"/>
    <x v="22"/>
  </r>
  <r>
    <x v="27"/>
    <x v="77"/>
    <x v="3"/>
    <x v="15"/>
    <x v="15"/>
    <x v="5"/>
    <x v="5"/>
    <x v="19"/>
  </r>
  <r>
    <x v="27"/>
    <x v="77"/>
    <x v="3"/>
    <x v="58"/>
    <x v="58"/>
    <x v="5"/>
    <x v="5"/>
    <x v="19"/>
  </r>
  <r>
    <x v="27"/>
    <x v="77"/>
    <x v="3"/>
    <x v="16"/>
    <x v="16"/>
    <x v="1"/>
    <x v="5"/>
    <x v="6"/>
  </r>
  <r>
    <x v="27"/>
    <x v="77"/>
    <x v="3"/>
    <x v="17"/>
    <x v="17"/>
    <x v="1"/>
    <x v="5"/>
    <x v="6"/>
  </r>
  <r>
    <x v="27"/>
    <x v="77"/>
    <x v="3"/>
    <x v="18"/>
    <x v="18"/>
    <x v="1"/>
    <x v="5"/>
    <x v="6"/>
  </r>
  <r>
    <x v="27"/>
    <x v="77"/>
    <x v="3"/>
    <x v="59"/>
    <x v="59"/>
    <x v="1"/>
    <x v="5"/>
    <x v="6"/>
  </r>
  <r>
    <x v="27"/>
    <x v="78"/>
    <x v="0"/>
    <x v="24"/>
    <x v="24"/>
    <x v="1"/>
    <x v="8"/>
    <x v="17"/>
  </r>
  <r>
    <x v="27"/>
    <x v="78"/>
    <x v="0"/>
    <x v="0"/>
    <x v="0"/>
    <x v="5"/>
    <x v="0"/>
    <x v="17"/>
  </r>
  <r>
    <x v="27"/>
    <x v="78"/>
    <x v="0"/>
    <x v="25"/>
    <x v="25"/>
    <x v="1"/>
    <x v="9"/>
    <x v="18"/>
  </r>
  <r>
    <x v="27"/>
    <x v="78"/>
    <x v="1"/>
    <x v="20"/>
    <x v="20"/>
    <x v="1"/>
    <x v="4"/>
    <x v="4"/>
  </r>
  <r>
    <x v="27"/>
    <x v="78"/>
    <x v="1"/>
    <x v="2"/>
    <x v="2"/>
    <x v="1"/>
    <x v="2"/>
    <x v="2"/>
  </r>
  <r>
    <x v="27"/>
    <x v="78"/>
    <x v="1"/>
    <x v="36"/>
    <x v="36"/>
    <x v="5"/>
    <x v="2"/>
    <x v="13"/>
  </r>
  <r>
    <x v="27"/>
    <x v="78"/>
    <x v="1"/>
    <x v="4"/>
    <x v="4"/>
    <x v="5"/>
    <x v="4"/>
    <x v="24"/>
  </r>
  <r>
    <x v="27"/>
    <x v="78"/>
    <x v="1"/>
    <x v="5"/>
    <x v="5"/>
    <x v="2"/>
    <x v="4"/>
    <x v="5"/>
  </r>
  <r>
    <x v="27"/>
    <x v="78"/>
    <x v="1"/>
    <x v="6"/>
    <x v="6"/>
    <x v="1"/>
    <x v="5"/>
    <x v="6"/>
  </r>
  <r>
    <x v="27"/>
    <x v="78"/>
    <x v="1"/>
    <x v="7"/>
    <x v="7"/>
    <x v="2"/>
    <x v="6"/>
    <x v="15"/>
  </r>
  <r>
    <x v="27"/>
    <x v="78"/>
    <x v="1"/>
    <x v="8"/>
    <x v="8"/>
    <x v="1"/>
    <x v="5"/>
    <x v="6"/>
  </r>
  <r>
    <x v="27"/>
    <x v="78"/>
    <x v="1"/>
    <x v="9"/>
    <x v="9"/>
    <x v="1"/>
    <x v="7"/>
    <x v="3"/>
  </r>
  <r>
    <x v="27"/>
    <x v="78"/>
    <x v="1"/>
    <x v="10"/>
    <x v="10"/>
    <x v="2"/>
    <x v="5"/>
    <x v="10"/>
  </r>
  <r>
    <x v="27"/>
    <x v="78"/>
    <x v="2"/>
    <x v="33"/>
    <x v="33"/>
    <x v="1"/>
    <x v="11"/>
    <x v="29"/>
  </r>
  <r>
    <x v="27"/>
    <x v="78"/>
    <x v="3"/>
    <x v="23"/>
    <x v="23"/>
    <x v="1"/>
    <x v="5"/>
    <x v="6"/>
  </r>
  <r>
    <x v="27"/>
    <x v="78"/>
    <x v="3"/>
    <x v="13"/>
    <x v="13"/>
    <x v="1"/>
    <x v="5"/>
    <x v="6"/>
  </r>
  <r>
    <x v="27"/>
    <x v="78"/>
    <x v="3"/>
    <x v="14"/>
    <x v="14"/>
    <x v="2"/>
    <x v="5"/>
    <x v="10"/>
  </r>
  <r>
    <x v="27"/>
    <x v="78"/>
    <x v="3"/>
    <x v="15"/>
    <x v="15"/>
    <x v="1"/>
    <x v="5"/>
    <x v="6"/>
  </r>
  <r>
    <x v="27"/>
    <x v="78"/>
    <x v="3"/>
    <x v="58"/>
    <x v="58"/>
    <x v="1"/>
    <x v="5"/>
    <x v="6"/>
  </r>
  <r>
    <x v="27"/>
    <x v="78"/>
    <x v="3"/>
    <x v="18"/>
    <x v="18"/>
    <x v="1"/>
    <x v="5"/>
    <x v="6"/>
  </r>
  <r>
    <x v="27"/>
    <x v="79"/>
    <x v="0"/>
    <x v="0"/>
    <x v="0"/>
    <x v="1"/>
    <x v="0"/>
    <x v="9"/>
  </r>
  <r>
    <x v="27"/>
    <x v="79"/>
    <x v="4"/>
    <x v="27"/>
    <x v="27"/>
    <x v="1"/>
    <x v="10"/>
    <x v="28"/>
  </r>
  <r>
    <x v="27"/>
    <x v="79"/>
    <x v="6"/>
    <x v="57"/>
    <x v="57"/>
    <x v="4"/>
    <x v="17"/>
    <x v="65"/>
  </r>
  <r>
    <x v="27"/>
    <x v="79"/>
    <x v="2"/>
    <x v="47"/>
    <x v="47"/>
    <x v="1"/>
    <x v="12"/>
    <x v="22"/>
  </r>
  <r>
    <x v="27"/>
    <x v="79"/>
    <x v="2"/>
    <x v="33"/>
    <x v="33"/>
    <x v="2"/>
    <x v="11"/>
    <x v="42"/>
  </r>
  <r>
    <x v="27"/>
    <x v="79"/>
    <x v="3"/>
    <x v="14"/>
    <x v="14"/>
    <x v="1"/>
    <x v="5"/>
    <x v="6"/>
  </r>
  <r>
    <x v="28"/>
    <x v="80"/>
    <x v="0"/>
    <x v="0"/>
    <x v="0"/>
    <x v="2"/>
    <x v="0"/>
    <x v="49"/>
  </r>
  <r>
    <x v="28"/>
    <x v="80"/>
    <x v="0"/>
    <x v="1"/>
    <x v="1"/>
    <x v="1"/>
    <x v="1"/>
    <x v="1"/>
  </r>
  <r>
    <x v="28"/>
    <x v="80"/>
    <x v="1"/>
    <x v="74"/>
    <x v="76"/>
    <x v="1"/>
    <x v="4"/>
    <x v="4"/>
  </r>
  <r>
    <x v="28"/>
    <x v="80"/>
    <x v="1"/>
    <x v="2"/>
    <x v="2"/>
    <x v="1"/>
    <x v="2"/>
    <x v="2"/>
  </r>
  <r>
    <x v="28"/>
    <x v="80"/>
    <x v="1"/>
    <x v="6"/>
    <x v="6"/>
    <x v="1"/>
    <x v="5"/>
    <x v="6"/>
  </r>
  <r>
    <x v="28"/>
    <x v="80"/>
    <x v="1"/>
    <x v="7"/>
    <x v="7"/>
    <x v="1"/>
    <x v="6"/>
    <x v="33"/>
  </r>
  <r>
    <x v="28"/>
    <x v="80"/>
    <x v="2"/>
    <x v="33"/>
    <x v="33"/>
    <x v="2"/>
    <x v="11"/>
    <x v="42"/>
  </r>
  <r>
    <x v="28"/>
    <x v="80"/>
    <x v="3"/>
    <x v="23"/>
    <x v="23"/>
    <x v="7"/>
    <x v="5"/>
    <x v="22"/>
  </r>
  <r>
    <x v="28"/>
    <x v="81"/>
    <x v="0"/>
    <x v="24"/>
    <x v="24"/>
    <x v="1"/>
    <x v="8"/>
    <x v="17"/>
  </r>
  <r>
    <x v="28"/>
    <x v="81"/>
    <x v="0"/>
    <x v="0"/>
    <x v="0"/>
    <x v="6"/>
    <x v="0"/>
    <x v="44"/>
  </r>
  <r>
    <x v="28"/>
    <x v="81"/>
    <x v="0"/>
    <x v="25"/>
    <x v="25"/>
    <x v="1"/>
    <x v="9"/>
    <x v="18"/>
  </r>
  <r>
    <x v="28"/>
    <x v="81"/>
    <x v="1"/>
    <x v="20"/>
    <x v="20"/>
    <x v="1"/>
    <x v="4"/>
    <x v="4"/>
  </r>
  <r>
    <x v="28"/>
    <x v="81"/>
    <x v="1"/>
    <x v="2"/>
    <x v="2"/>
    <x v="2"/>
    <x v="2"/>
    <x v="30"/>
  </r>
  <r>
    <x v="28"/>
    <x v="81"/>
    <x v="1"/>
    <x v="6"/>
    <x v="6"/>
    <x v="1"/>
    <x v="5"/>
    <x v="6"/>
  </r>
  <r>
    <x v="28"/>
    <x v="81"/>
    <x v="1"/>
    <x v="7"/>
    <x v="7"/>
    <x v="7"/>
    <x v="6"/>
    <x v="45"/>
  </r>
  <r>
    <x v="28"/>
    <x v="81"/>
    <x v="1"/>
    <x v="8"/>
    <x v="8"/>
    <x v="2"/>
    <x v="5"/>
    <x v="10"/>
  </r>
  <r>
    <x v="28"/>
    <x v="81"/>
    <x v="1"/>
    <x v="22"/>
    <x v="22"/>
    <x v="1"/>
    <x v="4"/>
    <x v="4"/>
  </r>
  <r>
    <x v="28"/>
    <x v="81"/>
    <x v="2"/>
    <x v="33"/>
    <x v="33"/>
    <x v="1"/>
    <x v="11"/>
    <x v="29"/>
  </r>
  <r>
    <x v="28"/>
    <x v="81"/>
    <x v="3"/>
    <x v="23"/>
    <x v="23"/>
    <x v="5"/>
    <x v="5"/>
    <x v="19"/>
  </r>
  <r>
    <x v="28"/>
    <x v="81"/>
    <x v="3"/>
    <x v="37"/>
    <x v="37"/>
    <x v="1"/>
    <x v="5"/>
    <x v="6"/>
  </r>
  <r>
    <x v="28"/>
    <x v="81"/>
    <x v="3"/>
    <x v="14"/>
    <x v="14"/>
    <x v="5"/>
    <x v="5"/>
    <x v="19"/>
  </r>
  <r>
    <x v="28"/>
    <x v="81"/>
    <x v="3"/>
    <x v="15"/>
    <x v="15"/>
    <x v="1"/>
    <x v="5"/>
    <x v="6"/>
  </r>
  <r>
    <x v="28"/>
    <x v="81"/>
    <x v="3"/>
    <x v="17"/>
    <x v="17"/>
    <x v="1"/>
    <x v="5"/>
    <x v="6"/>
  </r>
  <r>
    <x v="29"/>
    <x v="82"/>
    <x v="0"/>
    <x v="0"/>
    <x v="0"/>
    <x v="13"/>
    <x v="0"/>
    <x v="60"/>
  </r>
  <r>
    <x v="29"/>
    <x v="82"/>
    <x v="0"/>
    <x v="25"/>
    <x v="25"/>
    <x v="1"/>
    <x v="9"/>
    <x v="18"/>
  </r>
  <r>
    <x v="29"/>
    <x v="82"/>
    <x v="1"/>
    <x v="2"/>
    <x v="2"/>
    <x v="5"/>
    <x v="2"/>
    <x v="13"/>
  </r>
  <r>
    <x v="29"/>
    <x v="82"/>
    <x v="1"/>
    <x v="35"/>
    <x v="35"/>
    <x v="1"/>
    <x v="3"/>
    <x v="14"/>
  </r>
  <r>
    <x v="29"/>
    <x v="82"/>
    <x v="1"/>
    <x v="3"/>
    <x v="3"/>
    <x v="1"/>
    <x v="3"/>
    <x v="14"/>
  </r>
  <r>
    <x v="29"/>
    <x v="82"/>
    <x v="1"/>
    <x v="21"/>
    <x v="21"/>
    <x v="1"/>
    <x v="4"/>
    <x v="4"/>
  </r>
  <r>
    <x v="29"/>
    <x v="82"/>
    <x v="1"/>
    <x v="36"/>
    <x v="36"/>
    <x v="1"/>
    <x v="2"/>
    <x v="2"/>
  </r>
  <r>
    <x v="29"/>
    <x v="82"/>
    <x v="1"/>
    <x v="7"/>
    <x v="7"/>
    <x v="5"/>
    <x v="6"/>
    <x v="43"/>
  </r>
  <r>
    <x v="29"/>
    <x v="82"/>
    <x v="1"/>
    <x v="8"/>
    <x v="8"/>
    <x v="8"/>
    <x v="5"/>
    <x v="23"/>
  </r>
  <r>
    <x v="29"/>
    <x v="82"/>
    <x v="1"/>
    <x v="9"/>
    <x v="9"/>
    <x v="1"/>
    <x v="7"/>
    <x v="3"/>
  </r>
  <r>
    <x v="29"/>
    <x v="82"/>
    <x v="2"/>
    <x v="33"/>
    <x v="33"/>
    <x v="6"/>
    <x v="11"/>
    <x v="34"/>
  </r>
  <r>
    <x v="29"/>
    <x v="82"/>
    <x v="3"/>
    <x v="23"/>
    <x v="23"/>
    <x v="7"/>
    <x v="5"/>
    <x v="22"/>
  </r>
  <r>
    <x v="29"/>
    <x v="82"/>
    <x v="3"/>
    <x v="37"/>
    <x v="37"/>
    <x v="7"/>
    <x v="5"/>
    <x v="22"/>
  </r>
  <r>
    <x v="29"/>
    <x v="82"/>
    <x v="3"/>
    <x v="14"/>
    <x v="14"/>
    <x v="5"/>
    <x v="5"/>
    <x v="19"/>
  </r>
  <r>
    <x v="29"/>
    <x v="82"/>
    <x v="3"/>
    <x v="15"/>
    <x v="15"/>
    <x v="2"/>
    <x v="5"/>
    <x v="10"/>
  </r>
  <r>
    <x v="30"/>
    <x v="83"/>
    <x v="0"/>
    <x v="0"/>
    <x v="0"/>
    <x v="4"/>
    <x v="0"/>
    <x v="12"/>
  </r>
  <r>
    <x v="30"/>
    <x v="83"/>
    <x v="1"/>
    <x v="7"/>
    <x v="7"/>
    <x v="7"/>
    <x v="6"/>
    <x v="45"/>
  </r>
  <r>
    <x v="30"/>
    <x v="83"/>
    <x v="1"/>
    <x v="8"/>
    <x v="8"/>
    <x v="1"/>
    <x v="5"/>
    <x v="6"/>
  </r>
  <r>
    <x v="30"/>
    <x v="83"/>
    <x v="5"/>
    <x v="42"/>
    <x v="42"/>
    <x v="1"/>
    <x v="13"/>
    <x v="27"/>
  </r>
  <r>
    <x v="30"/>
    <x v="83"/>
    <x v="3"/>
    <x v="23"/>
    <x v="23"/>
    <x v="1"/>
    <x v="5"/>
    <x v="6"/>
  </r>
  <r>
    <x v="30"/>
    <x v="83"/>
    <x v="3"/>
    <x v="15"/>
    <x v="15"/>
    <x v="1"/>
    <x v="5"/>
    <x v="6"/>
  </r>
  <r>
    <x v="30"/>
    <x v="84"/>
    <x v="0"/>
    <x v="0"/>
    <x v="0"/>
    <x v="5"/>
    <x v="0"/>
    <x v="17"/>
  </r>
  <r>
    <x v="30"/>
    <x v="84"/>
    <x v="0"/>
    <x v="1"/>
    <x v="1"/>
    <x v="1"/>
    <x v="1"/>
    <x v="1"/>
  </r>
  <r>
    <x v="30"/>
    <x v="84"/>
    <x v="1"/>
    <x v="20"/>
    <x v="20"/>
    <x v="1"/>
    <x v="4"/>
    <x v="4"/>
  </r>
  <r>
    <x v="30"/>
    <x v="84"/>
    <x v="1"/>
    <x v="2"/>
    <x v="2"/>
    <x v="1"/>
    <x v="2"/>
    <x v="2"/>
  </r>
  <r>
    <x v="30"/>
    <x v="84"/>
    <x v="1"/>
    <x v="35"/>
    <x v="35"/>
    <x v="1"/>
    <x v="3"/>
    <x v="14"/>
  </r>
  <r>
    <x v="30"/>
    <x v="84"/>
    <x v="1"/>
    <x v="3"/>
    <x v="3"/>
    <x v="1"/>
    <x v="3"/>
    <x v="14"/>
  </r>
  <r>
    <x v="30"/>
    <x v="84"/>
    <x v="1"/>
    <x v="5"/>
    <x v="5"/>
    <x v="1"/>
    <x v="4"/>
    <x v="4"/>
  </r>
  <r>
    <x v="30"/>
    <x v="84"/>
    <x v="1"/>
    <x v="6"/>
    <x v="6"/>
    <x v="2"/>
    <x v="5"/>
    <x v="10"/>
  </r>
  <r>
    <x v="30"/>
    <x v="84"/>
    <x v="1"/>
    <x v="22"/>
    <x v="22"/>
    <x v="1"/>
    <x v="4"/>
    <x v="4"/>
  </r>
  <r>
    <x v="30"/>
    <x v="84"/>
    <x v="6"/>
    <x v="57"/>
    <x v="57"/>
    <x v="7"/>
    <x v="17"/>
    <x v="66"/>
  </r>
  <r>
    <x v="30"/>
    <x v="84"/>
    <x v="2"/>
    <x v="47"/>
    <x v="47"/>
    <x v="1"/>
    <x v="12"/>
    <x v="22"/>
  </r>
  <r>
    <x v="30"/>
    <x v="84"/>
    <x v="3"/>
    <x v="23"/>
    <x v="23"/>
    <x v="5"/>
    <x v="5"/>
    <x v="19"/>
  </r>
  <r>
    <x v="30"/>
    <x v="84"/>
    <x v="3"/>
    <x v="37"/>
    <x v="37"/>
    <x v="5"/>
    <x v="5"/>
    <x v="19"/>
  </r>
  <r>
    <x v="30"/>
    <x v="84"/>
    <x v="3"/>
    <x v="14"/>
    <x v="14"/>
    <x v="2"/>
    <x v="5"/>
    <x v="10"/>
  </r>
  <r>
    <x v="30"/>
    <x v="85"/>
    <x v="1"/>
    <x v="8"/>
    <x v="8"/>
    <x v="1"/>
    <x v="5"/>
    <x v="6"/>
  </r>
  <r>
    <x v="30"/>
    <x v="86"/>
    <x v="0"/>
    <x v="0"/>
    <x v="0"/>
    <x v="1"/>
    <x v="0"/>
    <x v="9"/>
  </r>
  <r>
    <x v="30"/>
    <x v="86"/>
    <x v="1"/>
    <x v="7"/>
    <x v="7"/>
    <x v="1"/>
    <x v="6"/>
    <x v="33"/>
  </r>
  <r>
    <x v="30"/>
    <x v="86"/>
    <x v="1"/>
    <x v="8"/>
    <x v="8"/>
    <x v="1"/>
    <x v="5"/>
    <x v="6"/>
  </r>
  <r>
    <x v="30"/>
    <x v="86"/>
    <x v="2"/>
    <x v="54"/>
    <x v="54"/>
    <x v="1"/>
    <x v="12"/>
    <x v="22"/>
  </r>
  <r>
    <x v="30"/>
    <x v="86"/>
    <x v="3"/>
    <x v="23"/>
    <x v="23"/>
    <x v="1"/>
    <x v="5"/>
    <x v="6"/>
  </r>
  <r>
    <x v="31"/>
    <x v="87"/>
    <x v="7"/>
    <x v="75"/>
    <x v="77"/>
    <x v="19"/>
    <x v="22"/>
    <x v="6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793">
  <r>
    <x v="0"/>
    <x v="0"/>
    <x v="0"/>
    <x v="0"/>
    <x v="0"/>
    <x v="0"/>
    <x v="0"/>
    <x v="0"/>
  </r>
  <r>
    <x v="0"/>
    <x v="0"/>
    <x v="0"/>
    <x v="1"/>
    <x v="1"/>
    <x v="0"/>
    <x v="1"/>
    <x v="1"/>
  </r>
  <r>
    <x v="0"/>
    <x v="0"/>
    <x v="0"/>
    <x v="2"/>
    <x v="2"/>
    <x v="0"/>
    <x v="2"/>
    <x v="2"/>
  </r>
  <r>
    <x v="0"/>
    <x v="0"/>
    <x v="0"/>
    <x v="3"/>
    <x v="3"/>
    <x v="0"/>
    <x v="1"/>
    <x v="1"/>
  </r>
  <r>
    <x v="0"/>
    <x v="0"/>
    <x v="0"/>
    <x v="4"/>
    <x v="4"/>
    <x v="1"/>
    <x v="3"/>
    <x v="3"/>
  </r>
  <r>
    <x v="0"/>
    <x v="0"/>
    <x v="0"/>
    <x v="5"/>
    <x v="5"/>
    <x v="0"/>
    <x v="4"/>
    <x v="4"/>
  </r>
  <r>
    <x v="0"/>
    <x v="0"/>
    <x v="0"/>
    <x v="6"/>
    <x v="6"/>
    <x v="1"/>
    <x v="5"/>
    <x v="5"/>
  </r>
  <r>
    <x v="0"/>
    <x v="0"/>
    <x v="0"/>
    <x v="7"/>
    <x v="7"/>
    <x v="2"/>
    <x v="6"/>
    <x v="6"/>
  </r>
  <r>
    <x v="0"/>
    <x v="0"/>
    <x v="1"/>
    <x v="8"/>
    <x v="8"/>
    <x v="0"/>
    <x v="7"/>
    <x v="7"/>
  </r>
  <r>
    <x v="0"/>
    <x v="0"/>
    <x v="1"/>
    <x v="9"/>
    <x v="9"/>
    <x v="0"/>
    <x v="8"/>
    <x v="8"/>
  </r>
  <r>
    <x v="0"/>
    <x v="0"/>
    <x v="2"/>
    <x v="10"/>
    <x v="10"/>
    <x v="3"/>
    <x v="9"/>
    <x v="9"/>
  </r>
  <r>
    <x v="0"/>
    <x v="0"/>
    <x v="3"/>
    <x v="11"/>
    <x v="11"/>
    <x v="4"/>
    <x v="8"/>
    <x v="10"/>
  </r>
  <r>
    <x v="0"/>
    <x v="0"/>
    <x v="3"/>
    <x v="12"/>
    <x v="12"/>
    <x v="0"/>
    <x v="8"/>
    <x v="8"/>
  </r>
  <r>
    <x v="0"/>
    <x v="0"/>
    <x v="3"/>
    <x v="13"/>
    <x v="13"/>
    <x v="0"/>
    <x v="8"/>
    <x v="8"/>
  </r>
  <r>
    <x v="0"/>
    <x v="0"/>
    <x v="3"/>
    <x v="14"/>
    <x v="14"/>
    <x v="5"/>
    <x v="8"/>
    <x v="1"/>
  </r>
  <r>
    <x v="0"/>
    <x v="0"/>
    <x v="3"/>
    <x v="15"/>
    <x v="15"/>
    <x v="0"/>
    <x v="8"/>
    <x v="8"/>
  </r>
  <r>
    <x v="0"/>
    <x v="1"/>
    <x v="1"/>
    <x v="16"/>
    <x v="16"/>
    <x v="0"/>
    <x v="8"/>
    <x v="8"/>
  </r>
  <r>
    <x v="0"/>
    <x v="1"/>
    <x v="1"/>
    <x v="8"/>
    <x v="8"/>
    <x v="0"/>
    <x v="7"/>
    <x v="7"/>
  </r>
  <r>
    <x v="0"/>
    <x v="1"/>
    <x v="1"/>
    <x v="17"/>
    <x v="17"/>
    <x v="0"/>
    <x v="10"/>
    <x v="11"/>
  </r>
  <r>
    <x v="0"/>
    <x v="1"/>
    <x v="2"/>
    <x v="18"/>
    <x v="18"/>
    <x v="0"/>
    <x v="11"/>
    <x v="12"/>
  </r>
  <r>
    <x v="0"/>
    <x v="1"/>
    <x v="2"/>
    <x v="19"/>
    <x v="19"/>
    <x v="6"/>
    <x v="12"/>
    <x v="13"/>
  </r>
  <r>
    <x v="0"/>
    <x v="1"/>
    <x v="2"/>
    <x v="20"/>
    <x v="20"/>
    <x v="0"/>
    <x v="13"/>
    <x v="14"/>
  </r>
  <r>
    <x v="0"/>
    <x v="1"/>
    <x v="3"/>
    <x v="12"/>
    <x v="12"/>
    <x v="0"/>
    <x v="8"/>
    <x v="8"/>
  </r>
  <r>
    <x v="0"/>
    <x v="2"/>
    <x v="0"/>
    <x v="4"/>
    <x v="4"/>
    <x v="2"/>
    <x v="3"/>
    <x v="15"/>
  </r>
  <r>
    <x v="0"/>
    <x v="2"/>
    <x v="0"/>
    <x v="6"/>
    <x v="6"/>
    <x v="0"/>
    <x v="5"/>
    <x v="16"/>
  </r>
  <r>
    <x v="0"/>
    <x v="2"/>
    <x v="0"/>
    <x v="21"/>
    <x v="21"/>
    <x v="0"/>
    <x v="14"/>
    <x v="17"/>
  </r>
  <r>
    <x v="0"/>
    <x v="2"/>
    <x v="0"/>
    <x v="7"/>
    <x v="7"/>
    <x v="5"/>
    <x v="6"/>
    <x v="18"/>
  </r>
  <r>
    <x v="0"/>
    <x v="2"/>
    <x v="0"/>
    <x v="22"/>
    <x v="22"/>
    <x v="0"/>
    <x v="15"/>
    <x v="19"/>
  </r>
  <r>
    <x v="0"/>
    <x v="2"/>
    <x v="1"/>
    <x v="23"/>
    <x v="23"/>
    <x v="0"/>
    <x v="4"/>
    <x v="4"/>
  </r>
  <r>
    <x v="0"/>
    <x v="2"/>
    <x v="2"/>
    <x v="24"/>
    <x v="24"/>
    <x v="6"/>
    <x v="16"/>
    <x v="20"/>
  </r>
  <r>
    <x v="0"/>
    <x v="2"/>
    <x v="3"/>
    <x v="11"/>
    <x v="11"/>
    <x v="5"/>
    <x v="8"/>
    <x v="1"/>
  </r>
  <r>
    <x v="0"/>
    <x v="2"/>
    <x v="3"/>
    <x v="25"/>
    <x v="25"/>
    <x v="0"/>
    <x v="8"/>
    <x v="8"/>
  </r>
  <r>
    <x v="0"/>
    <x v="2"/>
    <x v="3"/>
    <x v="26"/>
    <x v="26"/>
    <x v="0"/>
    <x v="8"/>
    <x v="8"/>
  </r>
  <r>
    <x v="0"/>
    <x v="2"/>
    <x v="3"/>
    <x v="27"/>
    <x v="27"/>
    <x v="0"/>
    <x v="8"/>
    <x v="8"/>
  </r>
  <r>
    <x v="0"/>
    <x v="2"/>
    <x v="3"/>
    <x v="28"/>
    <x v="28"/>
    <x v="1"/>
    <x v="8"/>
    <x v="21"/>
  </r>
  <r>
    <x v="0"/>
    <x v="2"/>
    <x v="3"/>
    <x v="13"/>
    <x v="13"/>
    <x v="1"/>
    <x v="8"/>
    <x v="21"/>
  </r>
  <r>
    <x v="0"/>
    <x v="2"/>
    <x v="3"/>
    <x v="29"/>
    <x v="29"/>
    <x v="0"/>
    <x v="8"/>
    <x v="8"/>
  </r>
  <r>
    <x v="0"/>
    <x v="2"/>
    <x v="3"/>
    <x v="14"/>
    <x v="14"/>
    <x v="5"/>
    <x v="8"/>
    <x v="1"/>
  </r>
  <r>
    <x v="0"/>
    <x v="2"/>
    <x v="3"/>
    <x v="30"/>
    <x v="30"/>
    <x v="5"/>
    <x v="8"/>
    <x v="1"/>
  </r>
  <r>
    <x v="0"/>
    <x v="2"/>
    <x v="3"/>
    <x v="31"/>
    <x v="31"/>
    <x v="0"/>
    <x v="10"/>
    <x v="11"/>
  </r>
  <r>
    <x v="0"/>
    <x v="2"/>
    <x v="3"/>
    <x v="32"/>
    <x v="32"/>
    <x v="0"/>
    <x v="8"/>
    <x v="8"/>
  </r>
  <r>
    <x v="0"/>
    <x v="2"/>
    <x v="3"/>
    <x v="33"/>
    <x v="33"/>
    <x v="1"/>
    <x v="8"/>
    <x v="21"/>
  </r>
  <r>
    <x v="0"/>
    <x v="2"/>
    <x v="3"/>
    <x v="34"/>
    <x v="34"/>
    <x v="5"/>
    <x v="8"/>
    <x v="1"/>
  </r>
  <r>
    <x v="0"/>
    <x v="3"/>
    <x v="0"/>
    <x v="4"/>
    <x v="4"/>
    <x v="0"/>
    <x v="3"/>
    <x v="22"/>
  </r>
  <r>
    <x v="0"/>
    <x v="3"/>
    <x v="0"/>
    <x v="7"/>
    <x v="7"/>
    <x v="1"/>
    <x v="6"/>
    <x v="23"/>
  </r>
  <r>
    <x v="0"/>
    <x v="3"/>
    <x v="4"/>
    <x v="35"/>
    <x v="35"/>
    <x v="0"/>
    <x v="17"/>
    <x v="24"/>
  </r>
  <r>
    <x v="0"/>
    <x v="3"/>
    <x v="3"/>
    <x v="11"/>
    <x v="11"/>
    <x v="1"/>
    <x v="8"/>
    <x v="21"/>
  </r>
  <r>
    <x v="0"/>
    <x v="3"/>
    <x v="3"/>
    <x v="36"/>
    <x v="36"/>
    <x v="0"/>
    <x v="8"/>
    <x v="8"/>
  </r>
  <r>
    <x v="0"/>
    <x v="4"/>
    <x v="0"/>
    <x v="37"/>
    <x v="37"/>
    <x v="0"/>
    <x v="14"/>
    <x v="17"/>
  </r>
  <r>
    <x v="0"/>
    <x v="4"/>
    <x v="1"/>
    <x v="38"/>
    <x v="38"/>
    <x v="0"/>
    <x v="8"/>
    <x v="8"/>
  </r>
  <r>
    <x v="0"/>
    <x v="4"/>
    <x v="3"/>
    <x v="30"/>
    <x v="30"/>
    <x v="0"/>
    <x v="8"/>
    <x v="8"/>
  </r>
  <r>
    <x v="0"/>
    <x v="5"/>
    <x v="0"/>
    <x v="39"/>
    <x v="39"/>
    <x v="0"/>
    <x v="17"/>
    <x v="24"/>
  </r>
  <r>
    <x v="0"/>
    <x v="6"/>
    <x v="2"/>
    <x v="19"/>
    <x v="19"/>
    <x v="1"/>
    <x v="12"/>
    <x v="25"/>
  </r>
  <r>
    <x v="0"/>
    <x v="7"/>
    <x v="0"/>
    <x v="4"/>
    <x v="4"/>
    <x v="0"/>
    <x v="3"/>
    <x v="22"/>
  </r>
  <r>
    <x v="0"/>
    <x v="7"/>
    <x v="0"/>
    <x v="6"/>
    <x v="6"/>
    <x v="1"/>
    <x v="5"/>
    <x v="5"/>
  </r>
  <r>
    <x v="0"/>
    <x v="7"/>
    <x v="0"/>
    <x v="7"/>
    <x v="7"/>
    <x v="5"/>
    <x v="6"/>
    <x v="18"/>
  </r>
  <r>
    <x v="0"/>
    <x v="7"/>
    <x v="2"/>
    <x v="24"/>
    <x v="24"/>
    <x v="6"/>
    <x v="16"/>
    <x v="20"/>
  </r>
  <r>
    <x v="0"/>
    <x v="7"/>
    <x v="2"/>
    <x v="40"/>
    <x v="40"/>
    <x v="7"/>
    <x v="16"/>
    <x v="26"/>
  </r>
  <r>
    <x v="0"/>
    <x v="7"/>
    <x v="2"/>
    <x v="19"/>
    <x v="19"/>
    <x v="1"/>
    <x v="12"/>
    <x v="25"/>
  </r>
  <r>
    <x v="0"/>
    <x v="7"/>
    <x v="4"/>
    <x v="41"/>
    <x v="41"/>
    <x v="0"/>
    <x v="18"/>
    <x v="27"/>
  </r>
  <r>
    <x v="0"/>
    <x v="7"/>
    <x v="3"/>
    <x v="12"/>
    <x v="12"/>
    <x v="5"/>
    <x v="8"/>
    <x v="1"/>
  </r>
  <r>
    <x v="0"/>
    <x v="8"/>
    <x v="0"/>
    <x v="42"/>
    <x v="42"/>
    <x v="0"/>
    <x v="1"/>
    <x v="1"/>
  </r>
  <r>
    <x v="0"/>
    <x v="8"/>
    <x v="0"/>
    <x v="43"/>
    <x v="43"/>
    <x v="0"/>
    <x v="19"/>
    <x v="28"/>
  </r>
  <r>
    <x v="0"/>
    <x v="8"/>
    <x v="5"/>
    <x v="44"/>
    <x v="44"/>
    <x v="0"/>
    <x v="0"/>
    <x v="0"/>
  </r>
  <r>
    <x v="0"/>
    <x v="8"/>
    <x v="3"/>
    <x v="12"/>
    <x v="12"/>
    <x v="0"/>
    <x v="8"/>
    <x v="8"/>
  </r>
  <r>
    <x v="0"/>
    <x v="9"/>
    <x v="0"/>
    <x v="45"/>
    <x v="45"/>
    <x v="0"/>
    <x v="20"/>
    <x v="29"/>
  </r>
  <r>
    <x v="0"/>
    <x v="9"/>
    <x v="0"/>
    <x v="4"/>
    <x v="4"/>
    <x v="3"/>
    <x v="3"/>
    <x v="30"/>
  </r>
  <r>
    <x v="0"/>
    <x v="9"/>
    <x v="0"/>
    <x v="6"/>
    <x v="6"/>
    <x v="6"/>
    <x v="5"/>
    <x v="31"/>
  </r>
  <r>
    <x v="0"/>
    <x v="9"/>
    <x v="0"/>
    <x v="7"/>
    <x v="7"/>
    <x v="8"/>
    <x v="6"/>
    <x v="32"/>
  </r>
  <r>
    <x v="0"/>
    <x v="9"/>
    <x v="1"/>
    <x v="46"/>
    <x v="46"/>
    <x v="0"/>
    <x v="7"/>
    <x v="7"/>
  </r>
  <r>
    <x v="0"/>
    <x v="9"/>
    <x v="1"/>
    <x v="17"/>
    <x v="17"/>
    <x v="0"/>
    <x v="10"/>
    <x v="11"/>
  </r>
  <r>
    <x v="0"/>
    <x v="9"/>
    <x v="6"/>
    <x v="47"/>
    <x v="47"/>
    <x v="0"/>
    <x v="21"/>
    <x v="33"/>
  </r>
  <r>
    <x v="0"/>
    <x v="9"/>
    <x v="2"/>
    <x v="19"/>
    <x v="19"/>
    <x v="1"/>
    <x v="12"/>
    <x v="25"/>
  </r>
  <r>
    <x v="0"/>
    <x v="9"/>
    <x v="7"/>
    <x v="48"/>
    <x v="48"/>
    <x v="0"/>
    <x v="12"/>
    <x v="34"/>
  </r>
  <r>
    <x v="0"/>
    <x v="9"/>
    <x v="3"/>
    <x v="11"/>
    <x v="11"/>
    <x v="1"/>
    <x v="8"/>
    <x v="21"/>
  </r>
  <r>
    <x v="0"/>
    <x v="9"/>
    <x v="3"/>
    <x v="14"/>
    <x v="14"/>
    <x v="0"/>
    <x v="8"/>
    <x v="8"/>
  </r>
  <r>
    <x v="0"/>
    <x v="9"/>
    <x v="3"/>
    <x v="49"/>
    <x v="49"/>
    <x v="0"/>
    <x v="8"/>
    <x v="8"/>
  </r>
  <r>
    <x v="0"/>
    <x v="9"/>
    <x v="3"/>
    <x v="30"/>
    <x v="30"/>
    <x v="5"/>
    <x v="8"/>
    <x v="1"/>
  </r>
  <r>
    <x v="0"/>
    <x v="9"/>
    <x v="3"/>
    <x v="31"/>
    <x v="31"/>
    <x v="1"/>
    <x v="10"/>
    <x v="28"/>
  </r>
  <r>
    <x v="0"/>
    <x v="9"/>
    <x v="3"/>
    <x v="34"/>
    <x v="34"/>
    <x v="1"/>
    <x v="8"/>
    <x v="21"/>
  </r>
  <r>
    <x v="0"/>
    <x v="10"/>
    <x v="0"/>
    <x v="0"/>
    <x v="0"/>
    <x v="0"/>
    <x v="0"/>
    <x v="0"/>
  </r>
  <r>
    <x v="0"/>
    <x v="10"/>
    <x v="0"/>
    <x v="50"/>
    <x v="50"/>
    <x v="0"/>
    <x v="22"/>
    <x v="35"/>
  </r>
  <r>
    <x v="0"/>
    <x v="10"/>
    <x v="0"/>
    <x v="4"/>
    <x v="4"/>
    <x v="2"/>
    <x v="3"/>
    <x v="15"/>
  </r>
  <r>
    <x v="0"/>
    <x v="10"/>
    <x v="0"/>
    <x v="51"/>
    <x v="51"/>
    <x v="0"/>
    <x v="23"/>
    <x v="36"/>
  </r>
  <r>
    <x v="0"/>
    <x v="10"/>
    <x v="0"/>
    <x v="6"/>
    <x v="6"/>
    <x v="7"/>
    <x v="5"/>
    <x v="37"/>
  </r>
  <r>
    <x v="0"/>
    <x v="10"/>
    <x v="0"/>
    <x v="7"/>
    <x v="7"/>
    <x v="7"/>
    <x v="6"/>
    <x v="38"/>
  </r>
  <r>
    <x v="0"/>
    <x v="10"/>
    <x v="0"/>
    <x v="37"/>
    <x v="37"/>
    <x v="0"/>
    <x v="14"/>
    <x v="17"/>
  </r>
  <r>
    <x v="0"/>
    <x v="10"/>
    <x v="0"/>
    <x v="39"/>
    <x v="39"/>
    <x v="0"/>
    <x v="17"/>
    <x v="24"/>
  </r>
  <r>
    <x v="0"/>
    <x v="10"/>
    <x v="3"/>
    <x v="11"/>
    <x v="11"/>
    <x v="7"/>
    <x v="8"/>
    <x v="24"/>
  </r>
  <r>
    <x v="0"/>
    <x v="10"/>
    <x v="3"/>
    <x v="25"/>
    <x v="25"/>
    <x v="0"/>
    <x v="8"/>
    <x v="8"/>
  </r>
  <r>
    <x v="0"/>
    <x v="10"/>
    <x v="3"/>
    <x v="13"/>
    <x v="13"/>
    <x v="5"/>
    <x v="8"/>
    <x v="1"/>
  </r>
  <r>
    <x v="0"/>
    <x v="10"/>
    <x v="3"/>
    <x v="52"/>
    <x v="52"/>
    <x v="0"/>
    <x v="8"/>
    <x v="8"/>
  </r>
  <r>
    <x v="0"/>
    <x v="10"/>
    <x v="3"/>
    <x v="14"/>
    <x v="14"/>
    <x v="0"/>
    <x v="8"/>
    <x v="8"/>
  </r>
  <r>
    <x v="0"/>
    <x v="10"/>
    <x v="3"/>
    <x v="30"/>
    <x v="30"/>
    <x v="0"/>
    <x v="8"/>
    <x v="8"/>
  </r>
  <r>
    <x v="0"/>
    <x v="10"/>
    <x v="3"/>
    <x v="31"/>
    <x v="31"/>
    <x v="0"/>
    <x v="10"/>
    <x v="11"/>
  </r>
  <r>
    <x v="0"/>
    <x v="10"/>
    <x v="3"/>
    <x v="34"/>
    <x v="34"/>
    <x v="0"/>
    <x v="8"/>
    <x v="8"/>
  </r>
  <r>
    <x v="0"/>
    <x v="10"/>
    <x v="3"/>
    <x v="53"/>
    <x v="53"/>
    <x v="0"/>
    <x v="8"/>
    <x v="8"/>
  </r>
  <r>
    <x v="1"/>
    <x v="11"/>
    <x v="0"/>
    <x v="4"/>
    <x v="4"/>
    <x v="7"/>
    <x v="3"/>
    <x v="39"/>
  </r>
  <r>
    <x v="1"/>
    <x v="11"/>
    <x v="0"/>
    <x v="5"/>
    <x v="5"/>
    <x v="0"/>
    <x v="4"/>
    <x v="4"/>
  </r>
  <r>
    <x v="1"/>
    <x v="11"/>
    <x v="0"/>
    <x v="6"/>
    <x v="6"/>
    <x v="7"/>
    <x v="5"/>
    <x v="37"/>
  </r>
  <r>
    <x v="1"/>
    <x v="11"/>
    <x v="0"/>
    <x v="7"/>
    <x v="7"/>
    <x v="7"/>
    <x v="6"/>
    <x v="38"/>
  </r>
  <r>
    <x v="1"/>
    <x v="11"/>
    <x v="0"/>
    <x v="39"/>
    <x v="39"/>
    <x v="1"/>
    <x v="17"/>
    <x v="40"/>
  </r>
  <r>
    <x v="1"/>
    <x v="11"/>
    <x v="6"/>
    <x v="54"/>
    <x v="54"/>
    <x v="0"/>
    <x v="9"/>
    <x v="41"/>
  </r>
  <r>
    <x v="1"/>
    <x v="11"/>
    <x v="2"/>
    <x v="24"/>
    <x v="24"/>
    <x v="6"/>
    <x v="16"/>
    <x v="20"/>
  </r>
  <r>
    <x v="1"/>
    <x v="11"/>
    <x v="2"/>
    <x v="18"/>
    <x v="18"/>
    <x v="5"/>
    <x v="11"/>
    <x v="42"/>
  </r>
  <r>
    <x v="1"/>
    <x v="11"/>
    <x v="2"/>
    <x v="40"/>
    <x v="40"/>
    <x v="2"/>
    <x v="16"/>
    <x v="43"/>
  </r>
  <r>
    <x v="1"/>
    <x v="11"/>
    <x v="2"/>
    <x v="19"/>
    <x v="19"/>
    <x v="2"/>
    <x v="12"/>
    <x v="9"/>
  </r>
  <r>
    <x v="1"/>
    <x v="11"/>
    <x v="2"/>
    <x v="20"/>
    <x v="20"/>
    <x v="0"/>
    <x v="13"/>
    <x v="14"/>
  </r>
  <r>
    <x v="1"/>
    <x v="11"/>
    <x v="2"/>
    <x v="55"/>
    <x v="55"/>
    <x v="0"/>
    <x v="9"/>
    <x v="41"/>
  </r>
  <r>
    <x v="1"/>
    <x v="12"/>
    <x v="0"/>
    <x v="4"/>
    <x v="4"/>
    <x v="1"/>
    <x v="3"/>
    <x v="3"/>
  </r>
  <r>
    <x v="1"/>
    <x v="12"/>
    <x v="0"/>
    <x v="6"/>
    <x v="6"/>
    <x v="0"/>
    <x v="5"/>
    <x v="16"/>
  </r>
  <r>
    <x v="1"/>
    <x v="12"/>
    <x v="1"/>
    <x v="56"/>
    <x v="56"/>
    <x v="0"/>
    <x v="24"/>
    <x v="44"/>
  </r>
  <r>
    <x v="1"/>
    <x v="12"/>
    <x v="1"/>
    <x v="57"/>
    <x v="57"/>
    <x v="0"/>
    <x v="7"/>
    <x v="7"/>
  </r>
  <r>
    <x v="1"/>
    <x v="12"/>
    <x v="1"/>
    <x v="58"/>
    <x v="58"/>
    <x v="1"/>
    <x v="8"/>
    <x v="21"/>
  </r>
  <r>
    <x v="1"/>
    <x v="12"/>
    <x v="4"/>
    <x v="59"/>
    <x v="59"/>
    <x v="0"/>
    <x v="18"/>
    <x v="27"/>
  </r>
  <r>
    <x v="1"/>
    <x v="12"/>
    <x v="3"/>
    <x v="11"/>
    <x v="11"/>
    <x v="4"/>
    <x v="8"/>
    <x v="10"/>
  </r>
  <r>
    <x v="1"/>
    <x v="12"/>
    <x v="3"/>
    <x v="60"/>
    <x v="60"/>
    <x v="0"/>
    <x v="8"/>
    <x v="8"/>
  </r>
  <r>
    <x v="1"/>
    <x v="12"/>
    <x v="3"/>
    <x v="61"/>
    <x v="61"/>
    <x v="0"/>
    <x v="8"/>
    <x v="8"/>
  </r>
  <r>
    <x v="1"/>
    <x v="12"/>
    <x v="3"/>
    <x v="27"/>
    <x v="27"/>
    <x v="0"/>
    <x v="8"/>
    <x v="8"/>
  </r>
  <r>
    <x v="1"/>
    <x v="12"/>
    <x v="3"/>
    <x v="14"/>
    <x v="14"/>
    <x v="7"/>
    <x v="8"/>
    <x v="24"/>
  </r>
  <r>
    <x v="1"/>
    <x v="12"/>
    <x v="3"/>
    <x v="31"/>
    <x v="31"/>
    <x v="0"/>
    <x v="10"/>
    <x v="11"/>
  </r>
  <r>
    <x v="1"/>
    <x v="12"/>
    <x v="3"/>
    <x v="62"/>
    <x v="62"/>
    <x v="0"/>
    <x v="8"/>
    <x v="8"/>
  </r>
  <r>
    <x v="1"/>
    <x v="12"/>
    <x v="3"/>
    <x v="53"/>
    <x v="53"/>
    <x v="1"/>
    <x v="8"/>
    <x v="21"/>
  </r>
  <r>
    <x v="2"/>
    <x v="13"/>
    <x v="2"/>
    <x v="10"/>
    <x v="10"/>
    <x v="3"/>
    <x v="9"/>
    <x v="9"/>
  </r>
  <r>
    <x v="2"/>
    <x v="14"/>
    <x v="0"/>
    <x v="21"/>
    <x v="21"/>
    <x v="0"/>
    <x v="14"/>
    <x v="17"/>
  </r>
  <r>
    <x v="2"/>
    <x v="14"/>
    <x v="0"/>
    <x v="7"/>
    <x v="7"/>
    <x v="0"/>
    <x v="6"/>
    <x v="45"/>
  </r>
  <r>
    <x v="2"/>
    <x v="14"/>
    <x v="2"/>
    <x v="18"/>
    <x v="18"/>
    <x v="0"/>
    <x v="11"/>
    <x v="12"/>
  </r>
  <r>
    <x v="2"/>
    <x v="14"/>
    <x v="2"/>
    <x v="19"/>
    <x v="19"/>
    <x v="0"/>
    <x v="12"/>
    <x v="34"/>
  </r>
  <r>
    <x v="2"/>
    <x v="14"/>
    <x v="3"/>
    <x v="11"/>
    <x v="11"/>
    <x v="0"/>
    <x v="8"/>
    <x v="8"/>
  </r>
  <r>
    <x v="2"/>
    <x v="14"/>
    <x v="3"/>
    <x v="34"/>
    <x v="34"/>
    <x v="1"/>
    <x v="8"/>
    <x v="21"/>
  </r>
  <r>
    <x v="2"/>
    <x v="15"/>
    <x v="0"/>
    <x v="4"/>
    <x v="4"/>
    <x v="5"/>
    <x v="3"/>
    <x v="46"/>
  </r>
  <r>
    <x v="2"/>
    <x v="15"/>
    <x v="0"/>
    <x v="6"/>
    <x v="6"/>
    <x v="5"/>
    <x v="5"/>
    <x v="47"/>
  </r>
  <r>
    <x v="2"/>
    <x v="15"/>
    <x v="0"/>
    <x v="7"/>
    <x v="7"/>
    <x v="7"/>
    <x v="6"/>
    <x v="38"/>
  </r>
  <r>
    <x v="2"/>
    <x v="15"/>
    <x v="1"/>
    <x v="63"/>
    <x v="63"/>
    <x v="0"/>
    <x v="8"/>
    <x v="8"/>
  </r>
  <r>
    <x v="2"/>
    <x v="15"/>
    <x v="1"/>
    <x v="38"/>
    <x v="38"/>
    <x v="0"/>
    <x v="8"/>
    <x v="8"/>
  </r>
  <r>
    <x v="2"/>
    <x v="15"/>
    <x v="1"/>
    <x v="58"/>
    <x v="58"/>
    <x v="0"/>
    <x v="8"/>
    <x v="8"/>
  </r>
  <r>
    <x v="2"/>
    <x v="15"/>
    <x v="4"/>
    <x v="41"/>
    <x v="41"/>
    <x v="0"/>
    <x v="18"/>
    <x v="27"/>
  </r>
  <r>
    <x v="2"/>
    <x v="15"/>
    <x v="3"/>
    <x v="64"/>
    <x v="64"/>
    <x v="0"/>
    <x v="8"/>
    <x v="8"/>
  </r>
  <r>
    <x v="2"/>
    <x v="15"/>
    <x v="3"/>
    <x v="14"/>
    <x v="14"/>
    <x v="0"/>
    <x v="8"/>
    <x v="8"/>
  </r>
  <r>
    <x v="2"/>
    <x v="15"/>
    <x v="3"/>
    <x v="34"/>
    <x v="34"/>
    <x v="1"/>
    <x v="8"/>
    <x v="21"/>
  </r>
  <r>
    <x v="2"/>
    <x v="16"/>
    <x v="1"/>
    <x v="65"/>
    <x v="65"/>
    <x v="0"/>
    <x v="7"/>
    <x v="7"/>
  </r>
  <r>
    <x v="2"/>
    <x v="17"/>
    <x v="0"/>
    <x v="4"/>
    <x v="4"/>
    <x v="0"/>
    <x v="3"/>
    <x v="22"/>
  </r>
  <r>
    <x v="2"/>
    <x v="17"/>
    <x v="0"/>
    <x v="37"/>
    <x v="37"/>
    <x v="0"/>
    <x v="14"/>
    <x v="17"/>
  </r>
  <r>
    <x v="2"/>
    <x v="17"/>
    <x v="1"/>
    <x v="66"/>
    <x v="66"/>
    <x v="0"/>
    <x v="8"/>
    <x v="8"/>
  </r>
  <r>
    <x v="2"/>
    <x v="17"/>
    <x v="2"/>
    <x v="24"/>
    <x v="24"/>
    <x v="2"/>
    <x v="16"/>
    <x v="43"/>
  </r>
  <r>
    <x v="2"/>
    <x v="17"/>
    <x v="2"/>
    <x v="18"/>
    <x v="18"/>
    <x v="0"/>
    <x v="11"/>
    <x v="12"/>
  </r>
  <r>
    <x v="2"/>
    <x v="17"/>
    <x v="2"/>
    <x v="19"/>
    <x v="19"/>
    <x v="5"/>
    <x v="12"/>
    <x v="48"/>
  </r>
  <r>
    <x v="2"/>
    <x v="17"/>
    <x v="4"/>
    <x v="67"/>
    <x v="67"/>
    <x v="0"/>
    <x v="17"/>
    <x v="24"/>
  </r>
  <r>
    <x v="2"/>
    <x v="17"/>
    <x v="4"/>
    <x v="68"/>
    <x v="68"/>
    <x v="0"/>
    <x v="15"/>
    <x v="19"/>
  </r>
  <r>
    <x v="2"/>
    <x v="17"/>
    <x v="3"/>
    <x v="14"/>
    <x v="14"/>
    <x v="0"/>
    <x v="8"/>
    <x v="8"/>
  </r>
  <r>
    <x v="2"/>
    <x v="17"/>
    <x v="3"/>
    <x v="69"/>
    <x v="69"/>
    <x v="0"/>
    <x v="8"/>
    <x v="8"/>
  </r>
  <r>
    <x v="2"/>
    <x v="17"/>
    <x v="3"/>
    <x v="34"/>
    <x v="34"/>
    <x v="0"/>
    <x v="8"/>
    <x v="8"/>
  </r>
  <r>
    <x v="2"/>
    <x v="18"/>
    <x v="0"/>
    <x v="0"/>
    <x v="0"/>
    <x v="0"/>
    <x v="0"/>
    <x v="0"/>
  </r>
  <r>
    <x v="2"/>
    <x v="18"/>
    <x v="0"/>
    <x v="4"/>
    <x v="4"/>
    <x v="6"/>
    <x v="3"/>
    <x v="49"/>
  </r>
  <r>
    <x v="2"/>
    <x v="18"/>
    <x v="0"/>
    <x v="6"/>
    <x v="6"/>
    <x v="1"/>
    <x v="5"/>
    <x v="5"/>
  </r>
  <r>
    <x v="2"/>
    <x v="18"/>
    <x v="0"/>
    <x v="7"/>
    <x v="7"/>
    <x v="7"/>
    <x v="6"/>
    <x v="38"/>
  </r>
  <r>
    <x v="2"/>
    <x v="18"/>
    <x v="1"/>
    <x v="70"/>
    <x v="70"/>
    <x v="1"/>
    <x v="10"/>
    <x v="28"/>
  </r>
  <r>
    <x v="2"/>
    <x v="18"/>
    <x v="1"/>
    <x v="71"/>
    <x v="71"/>
    <x v="0"/>
    <x v="8"/>
    <x v="8"/>
  </r>
  <r>
    <x v="2"/>
    <x v="18"/>
    <x v="1"/>
    <x v="72"/>
    <x v="72"/>
    <x v="0"/>
    <x v="7"/>
    <x v="7"/>
  </r>
  <r>
    <x v="2"/>
    <x v="18"/>
    <x v="2"/>
    <x v="19"/>
    <x v="19"/>
    <x v="0"/>
    <x v="12"/>
    <x v="34"/>
  </r>
  <r>
    <x v="2"/>
    <x v="18"/>
    <x v="3"/>
    <x v="25"/>
    <x v="25"/>
    <x v="0"/>
    <x v="8"/>
    <x v="8"/>
  </r>
  <r>
    <x v="2"/>
    <x v="18"/>
    <x v="3"/>
    <x v="73"/>
    <x v="73"/>
    <x v="0"/>
    <x v="8"/>
    <x v="8"/>
  </r>
  <r>
    <x v="2"/>
    <x v="18"/>
    <x v="3"/>
    <x v="74"/>
    <x v="74"/>
    <x v="0"/>
    <x v="8"/>
    <x v="8"/>
  </r>
  <r>
    <x v="2"/>
    <x v="18"/>
    <x v="3"/>
    <x v="14"/>
    <x v="14"/>
    <x v="0"/>
    <x v="8"/>
    <x v="8"/>
  </r>
  <r>
    <x v="2"/>
    <x v="18"/>
    <x v="3"/>
    <x v="75"/>
    <x v="75"/>
    <x v="1"/>
    <x v="8"/>
    <x v="21"/>
  </r>
  <r>
    <x v="2"/>
    <x v="18"/>
    <x v="3"/>
    <x v="76"/>
    <x v="76"/>
    <x v="0"/>
    <x v="8"/>
    <x v="8"/>
  </r>
  <r>
    <x v="2"/>
    <x v="19"/>
    <x v="0"/>
    <x v="51"/>
    <x v="51"/>
    <x v="0"/>
    <x v="23"/>
    <x v="36"/>
  </r>
  <r>
    <x v="2"/>
    <x v="20"/>
    <x v="0"/>
    <x v="42"/>
    <x v="42"/>
    <x v="0"/>
    <x v="1"/>
    <x v="1"/>
  </r>
  <r>
    <x v="2"/>
    <x v="20"/>
    <x v="0"/>
    <x v="4"/>
    <x v="4"/>
    <x v="2"/>
    <x v="3"/>
    <x v="15"/>
  </r>
  <r>
    <x v="2"/>
    <x v="20"/>
    <x v="0"/>
    <x v="6"/>
    <x v="6"/>
    <x v="0"/>
    <x v="5"/>
    <x v="16"/>
  </r>
  <r>
    <x v="2"/>
    <x v="20"/>
    <x v="0"/>
    <x v="7"/>
    <x v="7"/>
    <x v="6"/>
    <x v="6"/>
    <x v="50"/>
  </r>
  <r>
    <x v="2"/>
    <x v="20"/>
    <x v="0"/>
    <x v="39"/>
    <x v="39"/>
    <x v="1"/>
    <x v="17"/>
    <x v="40"/>
  </r>
  <r>
    <x v="2"/>
    <x v="20"/>
    <x v="5"/>
    <x v="44"/>
    <x v="44"/>
    <x v="0"/>
    <x v="0"/>
    <x v="0"/>
  </r>
  <r>
    <x v="2"/>
    <x v="20"/>
    <x v="2"/>
    <x v="19"/>
    <x v="19"/>
    <x v="0"/>
    <x v="12"/>
    <x v="34"/>
  </r>
  <r>
    <x v="2"/>
    <x v="20"/>
    <x v="4"/>
    <x v="59"/>
    <x v="59"/>
    <x v="0"/>
    <x v="18"/>
    <x v="27"/>
  </r>
  <r>
    <x v="2"/>
    <x v="20"/>
    <x v="3"/>
    <x v="73"/>
    <x v="73"/>
    <x v="0"/>
    <x v="8"/>
    <x v="8"/>
  </r>
  <r>
    <x v="2"/>
    <x v="20"/>
    <x v="3"/>
    <x v="61"/>
    <x v="61"/>
    <x v="0"/>
    <x v="8"/>
    <x v="8"/>
  </r>
  <r>
    <x v="2"/>
    <x v="20"/>
    <x v="3"/>
    <x v="27"/>
    <x v="27"/>
    <x v="1"/>
    <x v="8"/>
    <x v="21"/>
  </r>
  <r>
    <x v="2"/>
    <x v="20"/>
    <x v="3"/>
    <x v="13"/>
    <x v="13"/>
    <x v="1"/>
    <x v="8"/>
    <x v="21"/>
  </r>
  <r>
    <x v="2"/>
    <x v="20"/>
    <x v="3"/>
    <x v="14"/>
    <x v="14"/>
    <x v="0"/>
    <x v="8"/>
    <x v="8"/>
  </r>
  <r>
    <x v="2"/>
    <x v="20"/>
    <x v="3"/>
    <x v="31"/>
    <x v="31"/>
    <x v="0"/>
    <x v="10"/>
    <x v="11"/>
  </r>
  <r>
    <x v="2"/>
    <x v="20"/>
    <x v="3"/>
    <x v="77"/>
    <x v="77"/>
    <x v="0"/>
    <x v="8"/>
    <x v="8"/>
  </r>
  <r>
    <x v="3"/>
    <x v="21"/>
    <x v="0"/>
    <x v="78"/>
    <x v="78"/>
    <x v="0"/>
    <x v="25"/>
    <x v="51"/>
  </r>
  <r>
    <x v="3"/>
    <x v="21"/>
    <x v="0"/>
    <x v="4"/>
    <x v="4"/>
    <x v="7"/>
    <x v="3"/>
    <x v="39"/>
  </r>
  <r>
    <x v="3"/>
    <x v="21"/>
    <x v="0"/>
    <x v="6"/>
    <x v="6"/>
    <x v="2"/>
    <x v="5"/>
    <x v="52"/>
  </r>
  <r>
    <x v="3"/>
    <x v="21"/>
    <x v="0"/>
    <x v="7"/>
    <x v="7"/>
    <x v="6"/>
    <x v="6"/>
    <x v="50"/>
  </r>
  <r>
    <x v="3"/>
    <x v="21"/>
    <x v="1"/>
    <x v="56"/>
    <x v="56"/>
    <x v="1"/>
    <x v="24"/>
    <x v="53"/>
  </r>
  <r>
    <x v="3"/>
    <x v="21"/>
    <x v="1"/>
    <x v="79"/>
    <x v="79"/>
    <x v="0"/>
    <x v="7"/>
    <x v="7"/>
  </r>
  <r>
    <x v="3"/>
    <x v="21"/>
    <x v="1"/>
    <x v="58"/>
    <x v="58"/>
    <x v="1"/>
    <x v="8"/>
    <x v="21"/>
  </r>
  <r>
    <x v="3"/>
    <x v="21"/>
    <x v="2"/>
    <x v="10"/>
    <x v="10"/>
    <x v="6"/>
    <x v="9"/>
    <x v="54"/>
  </r>
  <r>
    <x v="3"/>
    <x v="21"/>
    <x v="2"/>
    <x v="19"/>
    <x v="19"/>
    <x v="1"/>
    <x v="12"/>
    <x v="25"/>
  </r>
  <r>
    <x v="3"/>
    <x v="21"/>
    <x v="3"/>
    <x v="11"/>
    <x v="11"/>
    <x v="3"/>
    <x v="8"/>
    <x v="55"/>
  </r>
  <r>
    <x v="3"/>
    <x v="21"/>
    <x v="3"/>
    <x v="12"/>
    <x v="12"/>
    <x v="0"/>
    <x v="8"/>
    <x v="8"/>
  </r>
  <r>
    <x v="3"/>
    <x v="21"/>
    <x v="3"/>
    <x v="26"/>
    <x v="26"/>
    <x v="0"/>
    <x v="8"/>
    <x v="8"/>
  </r>
  <r>
    <x v="3"/>
    <x v="21"/>
    <x v="3"/>
    <x v="13"/>
    <x v="13"/>
    <x v="0"/>
    <x v="8"/>
    <x v="8"/>
  </r>
  <r>
    <x v="3"/>
    <x v="21"/>
    <x v="3"/>
    <x v="14"/>
    <x v="14"/>
    <x v="1"/>
    <x v="8"/>
    <x v="21"/>
  </r>
  <r>
    <x v="3"/>
    <x v="21"/>
    <x v="3"/>
    <x v="30"/>
    <x v="30"/>
    <x v="7"/>
    <x v="8"/>
    <x v="24"/>
  </r>
  <r>
    <x v="3"/>
    <x v="21"/>
    <x v="3"/>
    <x v="31"/>
    <x v="31"/>
    <x v="0"/>
    <x v="10"/>
    <x v="11"/>
  </r>
  <r>
    <x v="3"/>
    <x v="21"/>
    <x v="3"/>
    <x v="34"/>
    <x v="34"/>
    <x v="0"/>
    <x v="8"/>
    <x v="8"/>
  </r>
  <r>
    <x v="3"/>
    <x v="21"/>
    <x v="3"/>
    <x v="53"/>
    <x v="53"/>
    <x v="1"/>
    <x v="8"/>
    <x v="21"/>
  </r>
  <r>
    <x v="3"/>
    <x v="22"/>
    <x v="0"/>
    <x v="80"/>
    <x v="80"/>
    <x v="0"/>
    <x v="26"/>
    <x v="56"/>
  </r>
  <r>
    <x v="3"/>
    <x v="22"/>
    <x v="0"/>
    <x v="81"/>
    <x v="81"/>
    <x v="0"/>
    <x v="27"/>
    <x v="57"/>
  </r>
  <r>
    <x v="3"/>
    <x v="22"/>
    <x v="0"/>
    <x v="4"/>
    <x v="4"/>
    <x v="1"/>
    <x v="3"/>
    <x v="3"/>
  </r>
  <r>
    <x v="3"/>
    <x v="22"/>
    <x v="0"/>
    <x v="6"/>
    <x v="6"/>
    <x v="0"/>
    <x v="5"/>
    <x v="16"/>
  </r>
  <r>
    <x v="3"/>
    <x v="22"/>
    <x v="0"/>
    <x v="7"/>
    <x v="7"/>
    <x v="7"/>
    <x v="6"/>
    <x v="38"/>
  </r>
  <r>
    <x v="3"/>
    <x v="22"/>
    <x v="0"/>
    <x v="82"/>
    <x v="82"/>
    <x v="0"/>
    <x v="28"/>
    <x v="58"/>
  </r>
  <r>
    <x v="3"/>
    <x v="22"/>
    <x v="1"/>
    <x v="63"/>
    <x v="63"/>
    <x v="0"/>
    <x v="8"/>
    <x v="8"/>
  </r>
  <r>
    <x v="3"/>
    <x v="22"/>
    <x v="1"/>
    <x v="71"/>
    <x v="71"/>
    <x v="0"/>
    <x v="8"/>
    <x v="8"/>
  </r>
  <r>
    <x v="3"/>
    <x v="22"/>
    <x v="2"/>
    <x v="24"/>
    <x v="24"/>
    <x v="1"/>
    <x v="16"/>
    <x v="59"/>
  </r>
  <r>
    <x v="3"/>
    <x v="22"/>
    <x v="2"/>
    <x v="18"/>
    <x v="18"/>
    <x v="0"/>
    <x v="11"/>
    <x v="12"/>
  </r>
  <r>
    <x v="3"/>
    <x v="22"/>
    <x v="2"/>
    <x v="19"/>
    <x v="19"/>
    <x v="7"/>
    <x v="12"/>
    <x v="60"/>
  </r>
  <r>
    <x v="3"/>
    <x v="22"/>
    <x v="2"/>
    <x v="20"/>
    <x v="20"/>
    <x v="0"/>
    <x v="13"/>
    <x v="14"/>
  </r>
  <r>
    <x v="3"/>
    <x v="22"/>
    <x v="3"/>
    <x v="14"/>
    <x v="14"/>
    <x v="0"/>
    <x v="8"/>
    <x v="8"/>
  </r>
  <r>
    <x v="3"/>
    <x v="22"/>
    <x v="3"/>
    <x v="62"/>
    <x v="62"/>
    <x v="0"/>
    <x v="8"/>
    <x v="8"/>
  </r>
  <r>
    <x v="3"/>
    <x v="23"/>
    <x v="0"/>
    <x v="7"/>
    <x v="7"/>
    <x v="0"/>
    <x v="6"/>
    <x v="45"/>
  </r>
  <r>
    <x v="3"/>
    <x v="23"/>
    <x v="1"/>
    <x v="8"/>
    <x v="8"/>
    <x v="0"/>
    <x v="7"/>
    <x v="7"/>
  </r>
  <r>
    <x v="3"/>
    <x v="23"/>
    <x v="3"/>
    <x v="11"/>
    <x v="11"/>
    <x v="9"/>
    <x v="8"/>
    <x v="40"/>
  </r>
  <r>
    <x v="3"/>
    <x v="23"/>
    <x v="3"/>
    <x v="60"/>
    <x v="60"/>
    <x v="0"/>
    <x v="8"/>
    <x v="8"/>
  </r>
  <r>
    <x v="3"/>
    <x v="23"/>
    <x v="3"/>
    <x v="30"/>
    <x v="30"/>
    <x v="0"/>
    <x v="8"/>
    <x v="8"/>
  </r>
  <r>
    <x v="3"/>
    <x v="24"/>
    <x v="0"/>
    <x v="51"/>
    <x v="51"/>
    <x v="0"/>
    <x v="23"/>
    <x v="36"/>
  </r>
  <r>
    <x v="3"/>
    <x v="24"/>
    <x v="4"/>
    <x v="67"/>
    <x v="67"/>
    <x v="0"/>
    <x v="17"/>
    <x v="24"/>
  </r>
  <r>
    <x v="3"/>
    <x v="25"/>
    <x v="0"/>
    <x v="4"/>
    <x v="4"/>
    <x v="1"/>
    <x v="3"/>
    <x v="3"/>
  </r>
  <r>
    <x v="3"/>
    <x v="25"/>
    <x v="0"/>
    <x v="6"/>
    <x v="6"/>
    <x v="1"/>
    <x v="5"/>
    <x v="5"/>
  </r>
  <r>
    <x v="3"/>
    <x v="25"/>
    <x v="0"/>
    <x v="7"/>
    <x v="7"/>
    <x v="1"/>
    <x v="6"/>
    <x v="23"/>
  </r>
  <r>
    <x v="3"/>
    <x v="25"/>
    <x v="0"/>
    <x v="37"/>
    <x v="37"/>
    <x v="0"/>
    <x v="14"/>
    <x v="17"/>
  </r>
  <r>
    <x v="3"/>
    <x v="25"/>
    <x v="4"/>
    <x v="83"/>
    <x v="83"/>
    <x v="1"/>
    <x v="0"/>
    <x v="33"/>
  </r>
  <r>
    <x v="3"/>
    <x v="25"/>
    <x v="3"/>
    <x v="34"/>
    <x v="34"/>
    <x v="0"/>
    <x v="8"/>
    <x v="8"/>
  </r>
  <r>
    <x v="3"/>
    <x v="26"/>
    <x v="5"/>
    <x v="44"/>
    <x v="44"/>
    <x v="0"/>
    <x v="0"/>
    <x v="0"/>
  </r>
  <r>
    <x v="3"/>
    <x v="26"/>
    <x v="2"/>
    <x v="18"/>
    <x v="18"/>
    <x v="1"/>
    <x v="11"/>
    <x v="61"/>
  </r>
  <r>
    <x v="3"/>
    <x v="26"/>
    <x v="2"/>
    <x v="19"/>
    <x v="19"/>
    <x v="7"/>
    <x v="12"/>
    <x v="60"/>
  </r>
  <r>
    <x v="3"/>
    <x v="26"/>
    <x v="3"/>
    <x v="61"/>
    <x v="61"/>
    <x v="0"/>
    <x v="8"/>
    <x v="8"/>
  </r>
  <r>
    <x v="3"/>
    <x v="27"/>
    <x v="0"/>
    <x v="80"/>
    <x v="80"/>
    <x v="0"/>
    <x v="26"/>
    <x v="56"/>
  </r>
  <r>
    <x v="3"/>
    <x v="27"/>
    <x v="0"/>
    <x v="3"/>
    <x v="3"/>
    <x v="0"/>
    <x v="1"/>
    <x v="1"/>
  </r>
  <r>
    <x v="3"/>
    <x v="27"/>
    <x v="0"/>
    <x v="84"/>
    <x v="84"/>
    <x v="0"/>
    <x v="19"/>
    <x v="28"/>
  </r>
  <r>
    <x v="3"/>
    <x v="27"/>
    <x v="0"/>
    <x v="4"/>
    <x v="4"/>
    <x v="2"/>
    <x v="3"/>
    <x v="15"/>
  </r>
  <r>
    <x v="3"/>
    <x v="27"/>
    <x v="0"/>
    <x v="6"/>
    <x v="6"/>
    <x v="5"/>
    <x v="5"/>
    <x v="47"/>
  </r>
  <r>
    <x v="3"/>
    <x v="27"/>
    <x v="0"/>
    <x v="7"/>
    <x v="7"/>
    <x v="9"/>
    <x v="6"/>
    <x v="62"/>
  </r>
  <r>
    <x v="3"/>
    <x v="27"/>
    <x v="0"/>
    <x v="22"/>
    <x v="22"/>
    <x v="0"/>
    <x v="15"/>
    <x v="19"/>
  </r>
  <r>
    <x v="3"/>
    <x v="27"/>
    <x v="1"/>
    <x v="17"/>
    <x v="17"/>
    <x v="0"/>
    <x v="10"/>
    <x v="11"/>
  </r>
  <r>
    <x v="3"/>
    <x v="27"/>
    <x v="2"/>
    <x v="24"/>
    <x v="24"/>
    <x v="2"/>
    <x v="16"/>
    <x v="43"/>
  </r>
  <r>
    <x v="3"/>
    <x v="27"/>
    <x v="2"/>
    <x v="40"/>
    <x v="40"/>
    <x v="8"/>
    <x v="16"/>
    <x v="63"/>
  </r>
  <r>
    <x v="3"/>
    <x v="27"/>
    <x v="2"/>
    <x v="55"/>
    <x v="55"/>
    <x v="0"/>
    <x v="9"/>
    <x v="41"/>
  </r>
  <r>
    <x v="3"/>
    <x v="27"/>
    <x v="3"/>
    <x v="12"/>
    <x v="12"/>
    <x v="1"/>
    <x v="8"/>
    <x v="21"/>
  </r>
  <r>
    <x v="3"/>
    <x v="27"/>
    <x v="3"/>
    <x v="60"/>
    <x v="60"/>
    <x v="0"/>
    <x v="8"/>
    <x v="8"/>
  </r>
  <r>
    <x v="3"/>
    <x v="27"/>
    <x v="3"/>
    <x v="28"/>
    <x v="28"/>
    <x v="0"/>
    <x v="8"/>
    <x v="8"/>
  </r>
  <r>
    <x v="3"/>
    <x v="27"/>
    <x v="3"/>
    <x v="14"/>
    <x v="14"/>
    <x v="0"/>
    <x v="8"/>
    <x v="8"/>
  </r>
  <r>
    <x v="3"/>
    <x v="27"/>
    <x v="3"/>
    <x v="34"/>
    <x v="34"/>
    <x v="2"/>
    <x v="8"/>
    <x v="29"/>
  </r>
  <r>
    <x v="3"/>
    <x v="28"/>
    <x v="0"/>
    <x v="80"/>
    <x v="80"/>
    <x v="0"/>
    <x v="26"/>
    <x v="56"/>
  </r>
  <r>
    <x v="3"/>
    <x v="28"/>
    <x v="0"/>
    <x v="85"/>
    <x v="85"/>
    <x v="0"/>
    <x v="29"/>
    <x v="64"/>
  </r>
  <r>
    <x v="3"/>
    <x v="28"/>
    <x v="0"/>
    <x v="3"/>
    <x v="3"/>
    <x v="0"/>
    <x v="1"/>
    <x v="1"/>
  </r>
  <r>
    <x v="3"/>
    <x v="28"/>
    <x v="0"/>
    <x v="86"/>
    <x v="86"/>
    <x v="0"/>
    <x v="17"/>
    <x v="24"/>
  </r>
  <r>
    <x v="3"/>
    <x v="28"/>
    <x v="0"/>
    <x v="87"/>
    <x v="87"/>
    <x v="0"/>
    <x v="30"/>
    <x v="65"/>
  </r>
  <r>
    <x v="3"/>
    <x v="28"/>
    <x v="0"/>
    <x v="4"/>
    <x v="4"/>
    <x v="3"/>
    <x v="3"/>
    <x v="30"/>
  </r>
  <r>
    <x v="3"/>
    <x v="28"/>
    <x v="0"/>
    <x v="5"/>
    <x v="5"/>
    <x v="0"/>
    <x v="4"/>
    <x v="4"/>
  </r>
  <r>
    <x v="3"/>
    <x v="28"/>
    <x v="0"/>
    <x v="6"/>
    <x v="6"/>
    <x v="5"/>
    <x v="5"/>
    <x v="47"/>
  </r>
  <r>
    <x v="3"/>
    <x v="28"/>
    <x v="0"/>
    <x v="7"/>
    <x v="7"/>
    <x v="2"/>
    <x v="6"/>
    <x v="6"/>
  </r>
  <r>
    <x v="3"/>
    <x v="28"/>
    <x v="0"/>
    <x v="37"/>
    <x v="37"/>
    <x v="0"/>
    <x v="14"/>
    <x v="17"/>
  </r>
  <r>
    <x v="3"/>
    <x v="28"/>
    <x v="1"/>
    <x v="8"/>
    <x v="8"/>
    <x v="0"/>
    <x v="7"/>
    <x v="7"/>
  </r>
  <r>
    <x v="3"/>
    <x v="28"/>
    <x v="1"/>
    <x v="17"/>
    <x v="17"/>
    <x v="0"/>
    <x v="10"/>
    <x v="11"/>
  </r>
  <r>
    <x v="3"/>
    <x v="28"/>
    <x v="2"/>
    <x v="19"/>
    <x v="19"/>
    <x v="0"/>
    <x v="12"/>
    <x v="34"/>
  </r>
  <r>
    <x v="3"/>
    <x v="28"/>
    <x v="4"/>
    <x v="68"/>
    <x v="68"/>
    <x v="0"/>
    <x v="15"/>
    <x v="19"/>
  </r>
  <r>
    <x v="3"/>
    <x v="28"/>
    <x v="3"/>
    <x v="11"/>
    <x v="11"/>
    <x v="2"/>
    <x v="8"/>
    <x v="29"/>
  </r>
  <r>
    <x v="3"/>
    <x v="28"/>
    <x v="3"/>
    <x v="60"/>
    <x v="60"/>
    <x v="0"/>
    <x v="8"/>
    <x v="8"/>
  </r>
  <r>
    <x v="3"/>
    <x v="28"/>
    <x v="3"/>
    <x v="88"/>
    <x v="88"/>
    <x v="0"/>
    <x v="8"/>
    <x v="8"/>
  </r>
  <r>
    <x v="3"/>
    <x v="28"/>
    <x v="3"/>
    <x v="61"/>
    <x v="61"/>
    <x v="0"/>
    <x v="8"/>
    <x v="8"/>
  </r>
  <r>
    <x v="3"/>
    <x v="28"/>
    <x v="3"/>
    <x v="89"/>
    <x v="89"/>
    <x v="1"/>
    <x v="31"/>
    <x v="24"/>
  </r>
  <r>
    <x v="3"/>
    <x v="28"/>
    <x v="3"/>
    <x v="27"/>
    <x v="27"/>
    <x v="5"/>
    <x v="8"/>
    <x v="1"/>
  </r>
  <r>
    <x v="3"/>
    <x v="28"/>
    <x v="3"/>
    <x v="28"/>
    <x v="28"/>
    <x v="1"/>
    <x v="8"/>
    <x v="21"/>
  </r>
  <r>
    <x v="3"/>
    <x v="28"/>
    <x v="3"/>
    <x v="14"/>
    <x v="14"/>
    <x v="7"/>
    <x v="8"/>
    <x v="24"/>
  </r>
  <r>
    <x v="3"/>
    <x v="28"/>
    <x v="3"/>
    <x v="30"/>
    <x v="30"/>
    <x v="2"/>
    <x v="8"/>
    <x v="29"/>
  </r>
  <r>
    <x v="3"/>
    <x v="28"/>
    <x v="3"/>
    <x v="34"/>
    <x v="34"/>
    <x v="0"/>
    <x v="8"/>
    <x v="8"/>
  </r>
  <r>
    <x v="3"/>
    <x v="28"/>
    <x v="3"/>
    <x v="53"/>
    <x v="53"/>
    <x v="5"/>
    <x v="8"/>
    <x v="1"/>
  </r>
  <r>
    <x v="4"/>
    <x v="29"/>
    <x v="0"/>
    <x v="4"/>
    <x v="4"/>
    <x v="5"/>
    <x v="3"/>
    <x v="46"/>
  </r>
  <r>
    <x v="4"/>
    <x v="29"/>
    <x v="0"/>
    <x v="6"/>
    <x v="6"/>
    <x v="0"/>
    <x v="5"/>
    <x v="16"/>
  </r>
  <r>
    <x v="4"/>
    <x v="29"/>
    <x v="0"/>
    <x v="7"/>
    <x v="7"/>
    <x v="2"/>
    <x v="6"/>
    <x v="6"/>
  </r>
  <r>
    <x v="4"/>
    <x v="29"/>
    <x v="2"/>
    <x v="18"/>
    <x v="18"/>
    <x v="0"/>
    <x v="11"/>
    <x v="12"/>
  </r>
  <r>
    <x v="4"/>
    <x v="29"/>
    <x v="2"/>
    <x v="10"/>
    <x v="10"/>
    <x v="6"/>
    <x v="9"/>
    <x v="54"/>
  </r>
  <r>
    <x v="4"/>
    <x v="29"/>
    <x v="2"/>
    <x v="19"/>
    <x v="19"/>
    <x v="2"/>
    <x v="12"/>
    <x v="9"/>
  </r>
  <r>
    <x v="4"/>
    <x v="29"/>
    <x v="2"/>
    <x v="55"/>
    <x v="55"/>
    <x v="0"/>
    <x v="9"/>
    <x v="41"/>
  </r>
  <r>
    <x v="4"/>
    <x v="29"/>
    <x v="3"/>
    <x v="11"/>
    <x v="11"/>
    <x v="7"/>
    <x v="8"/>
    <x v="24"/>
  </r>
  <r>
    <x v="4"/>
    <x v="30"/>
    <x v="0"/>
    <x v="4"/>
    <x v="4"/>
    <x v="1"/>
    <x v="3"/>
    <x v="3"/>
  </r>
  <r>
    <x v="4"/>
    <x v="30"/>
    <x v="0"/>
    <x v="6"/>
    <x v="6"/>
    <x v="7"/>
    <x v="5"/>
    <x v="37"/>
  </r>
  <r>
    <x v="4"/>
    <x v="30"/>
    <x v="0"/>
    <x v="21"/>
    <x v="21"/>
    <x v="0"/>
    <x v="14"/>
    <x v="17"/>
  </r>
  <r>
    <x v="4"/>
    <x v="30"/>
    <x v="0"/>
    <x v="7"/>
    <x v="7"/>
    <x v="0"/>
    <x v="6"/>
    <x v="45"/>
  </r>
  <r>
    <x v="4"/>
    <x v="30"/>
    <x v="0"/>
    <x v="39"/>
    <x v="39"/>
    <x v="0"/>
    <x v="17"/>
    <x v="24"/>
  </r>
  <r>
    <x v="4"/>
    <x v="30"/>
    <x v="3"/>
    <x v="11"/>
    <x v="11"/>
    <x v="6"/>
    <x v="8"/>
    <x v="58"/>
  </r>
  <r>
    <x v="4"/>
    <x v="30"/>
    <x v="3"/>
    <x v="14"/>
    <x v="14"/>
    <x v="0"/>
    <x v="8"/>
    <x v="8"/>
  </r>
  <r>
    <x v="4"/>
    <x v="30"/>
    <x v="3"/>
    <x v="90"/>
    <x v="90"/>
    <x v="0"/>
    <x v="31"/>
    <x v="21"/>
  </r>
  <r>
    <x v="4"/>
    <x v="31"/>
    <x v="3"/>
    <x v="12"/>
    <x v="12"/>
    <x v="0"/>
    <x v="8"/>
    <x v="8"/>
  </r>
  <r>
    <x v="4"/>
    <x v="32"/>
    <x v="0"/>
    <x v="39"/>
    <x v="39"/>
    <x v="0"/>
    <x v="17"/>
    <x v="24"/>
  </r>
  <r>
    <x v="4"/>
    <x v="32"/>
    <x v="1"/>
    <x v="8"/>
    <x v="8"/>
    <x v="0"/>
    <x v="7"/>
    <x v="7"/>
  </r>
  <r>
    <x v="4"/>
    <x v="32"/>
    <x v="1"/>
    <x v="17"/>
    <x v="17"/>
    <x v="0"/>
    <x v="10"/>
    <x v="11"/>
  </r>
  <r>
    <x v="4"/>
    <x v="32"/>
    <x v="4"/>
    <x v="83"/>
    <x v="83"/>
    <x v="0"/>
    <x v="0"/>
    <x v="0"/>
  </r>
  <r>
    <x v="4"/>
    <x v="32"/>
    <x v="3"/>
    <x v="28"/>
    <x v="28"/>
    <x v="0"/>
    <x v="8"/>
    <x v="8"/>
  </r>
  <r>
    <x v="4"/>
    <x v="32"/>
    <x v="3"/>
    <x v="31"/>
    <x v="31"/>
    <x v="0"/>
    <x v="10"/>
    <x v="11"/>
  </r>
  <r>
    <x v="4"/>
    <x v="32"/>
    <x v="3"/>
    <x v="34"/>
    <x v="34"/>
    <x v="1"/>
    <x v="8"/>
    <x v="21"/>
  </r>
  <r>
    <x v="4"/>
    <x v="33"/>
    <x v="0"/>
    <x v="4"/>
    <x v="4"/>
    <x v="7"/>
    <x v="3"/>
    <x v="39"/>
  </r>
  <r>
    <x v="4"/>
    <x v="33"/>
    <x v="0"/>
    <x v="6"/>
    <x v="6"/>
    <x v="5"/>
    <x v="5"/>
    <x v="47"/>
  </r>
  <r>
    <x v="4"/>
    <x v="33"/>
    <x v="0"/>
    <x v="7"/>
    <x v="7"/>
    <x v="5"/>
    <x v="6"/>
    <x v="18"/>
  </r>
  <r>
    <x v="4"/>
    <x v="33"/>
    <x v="3"/>
    <x v="11"/>
    <x v="11"/>
    <x v="0"/>
    <x v="8"/>
    <x v="8"/>
  </r>
  <r>
    <x v="4"/>
    <x v="33"/>
    <x v="3"/>
    <x v="61"/>
    <x v="61"/>
    <x v="0"/>
    <x v="8"/>
    <x v="8"/>
  </r>
  <r>
    <x v="4"/>
    <x v="34"/>
    <x v="0"/>
    <x v="4"/>
    <x v="4"/>
    <x v="5"/>
    <x v="3"/>
    <x v="46"/>
  </r>
  <r>
    <x v="4"/>
    <x v="34"/>
    <x v="0"/>
    <x v="6"/>
    <x v="6"/>
    <x v="5"/>
    <x v="5"/>
    <x v="47"/>
  </r>
  <r>
    <x v="4"/>
    <x v="34"/>
    <x v="0"/>
    <x v="7"/>
    <x v="7"/>
    <x v="6"/>
    <x v="6"/>
    <x v="50"/>
  </r>
  <r>
    <x v="4"/>
    <x v="34"/>
    <x v="3"/>
    <x v="11"/>
    <x v="11"/>
    <x v="0"/>
    <x v="8"/>
    <x v="8"/>
  </r>
  <r>
    <x v="4"/>
    <x v="35"/>
    <x v="2"/>
    <x v="24"/>
    <x v="24"/>
    <x v="2"/>
    <x v="16"/>
    <x v="43"/>
  </r>
  <r>
    <x v="4"/>
    <x v="35"/>
    <x v="2"/>
    <x v="18"/>
    <x v="18"/>
    <x v="0"/>
    <x v="11"/>
    <x v="12"/>
  </r>
  <r>
    <x v="4"/>
    <x v="35"/>
    <x v="2"/>
    <x v="40"/>
    <x v="40"/>
    <x v="1"/>
    <x v="16"/>
    <x v="59"/>
  </r>
  <r>
    <x v="4"/>
    <x v="35"/>
    <x v="2"/>
    <x v="19"/>
    <x v="19"/>
    <x v="5"/>
    <x v="12"/>
    <x v="48"/>
  </r>
  <r>
    <x v="4"/>
    <x v="35"/>
    <x v="2"/>
    <x v="55"/>
    <x v="55"/>
    <x v="0"/>
    <x v="9"/>
    <x v="41"/>
  </r>
  <r>
    <x v="4"/>
    <x v="35"/>
    <x v="3"/>
    <x v="12"/>
    <x v="12"/>
    <x v="0"/>
    <x v="8"/>
    <x v="8"/>
  </r>
  <r>
    <x v="4"/>
    <x v="36"/>
    <x v="0"/>
    <x v="91"/>
    <x v="91"/>
    <x v="0"/>
    <x v="32"/>
    <x v="5"/>
  </r>
  <r>
    <x v="4"/>
    <x v="36"/>
    <x v="0"/>
    <x v="3"/>
    <x v="3"/>
    <x v="0"/>
    <x v="1"/>
    <x v="1"/>
  </r>
  <r>
    <x v="4"/>
    <x v="36"/>
    <x v="0"/>
    <x v="87"/>
    <x v="87"/>
    <x v="0"/>
    <x v="30"/>
    <x v="65"/>
  </r>
  <r>
    <x v="4"/>
    <x v="36"/>
    <x v="0"/>
    <x v="4"/>
    <x v="4"/>
    <x v="6"/>
    <x v="3"/>
    <x v="49"/>
  </r>
  <r>
    <x v="4"/>
    <x v="36"/>
    <x v="0"/>
    <x v="51"/>
    <x v="51"/>
    <x v="0"/>
    <x v="23"/>
    <x v="36"/>
  </r>
  <r>
    <x v="4"/>
    <x v="36"/>
    <x v="0"/>
    <x v="6"/>
    <x v="6"/>
    <x v="5"/>
    <x v="5"/>
    <x v="47"/>
  </r>
  <r>
    <x v="4"/>
    <x v="36"/>
    <x v="0"/>
    <x v="7"/>
    <x v="7"/>
    <x v="2"/>
    <x v="6"/>
    <x v="6"/>
  </r>
  <r>
    <x v="4"/>
    <x v="36"/>
    <x v="0"/>
    <x v="39"/>
    <x v="39"/>
    <x v="0"/>
    <x v="17"/>
    <x v="24"/>
  </r>
  <r>
    <x v="4"/>
    <x v="36"/>
    <x v="1"/>
    <x v="8"/>
    <x v="8"/>
    <x v="0"/>
    <x v="7"/>
    <x v="7"/>
  </r>
  <r>
    <x v="4"/>
    <x v="36"/>
    <x v="2"/>
    <x v="19"/>
    <x v="19"/>
    <x v="1"/>
    <x v="12"/>
    <x v="25"/>
  </r>
  <r>
    <x v="4"/>
    <x v="36"/>
    <x v="4"/>
    <x v="83"/>
    <x v="83"/>
    <x v="1"/>
    <x v="0"/>
    <x v="33"/>
  </r>
  <r>
    <x v="4"/>
    <x v="36"/>
    <x v="4"/>
    <x v="59"/>
    <x v="59"/>
    <x v="0"/>
    <x v="18"/>
    <x v="27"/>
  </r>
  <r>
    <x v="4"/>
    <x v="36"/>
    <x v="4"/>
    <x v="92"/>
    <x v="92"/>
    <x v="0"/>
    <x v="29"/>
    <x v="64"/>
  </r>
  <r>
    <x v="4"/>
    <x v="36"/>
    <x v="7"/>
    <x v="93"/>
    <x v="93"/>
    <x v="0"/>
    <x v="12"/>
    <x v="34"/>
  </r>
  <r>
    <x v="4"/>
    <x v="36"/>
    <x v="3"/>
    <x v="11"/>
    <x v="11"/>
    <x v="7"/>
    <x v="8"/>
    <x v="24"/>
  </r>
  <r>
    <x v="4"/>
    <x v="36"/>
    <x v="3"/>
    <x v="25"/>
    <x v="25"/>
    <x v="0"/>
    <x v="8"/>
    <x v="8"/>
  </r>
  <r>
    <x v="4"/>
    <x v="36"/>
    <x v="3"/>
    <x v="61"/>
    <x v="61"/>
    <x v="0"/>
    <x v="8"/>
    <x v="8"/>
  </r>
  <r>
    <x v="4"/>
    <x v="36"/>
    <x v="3"/>
    <x v="89"/>
    <x v="89"/>
    <x v="0"/>
    <x v="31"/>
    <x v="21"/>
  </r>
  <r>
    <x v="4"/>
    <x v="36"/>
    <x v="3"/>
    <x v="13"/>
    <x v="13"/>
    <x v="2"/>
    <x v="8"/>
    <x v="29"/>
  </r>
  <r>
    <x v="4"/>
    <x v="36"/>
    <x v="3"/>
    <x v="29"/>
    <x v="29"/>
    <x v="0"/>
    <x v="8"/>
    <x v="8"/>
  </r>
  <r>
    <x v="4"/>
    <x v="36"/>
    <x v="3"/>
    <x v="14"/>
    <x v="14"/>
    <x v="1"/>
    <x v="8"/>
    <x v="21"/>
  </r>
  <r>
    <x v="4"/>
    <x v="36"/>
    <x v="3"/>
    <x v="62"/>
    <x v="62"/>
    <x v="0"/>
    <x v="8"/>
    <x v="8"/>
  </r>
  <r>
    <x v="4"/>
    <x v="36"/>
    <x v="3"/>
    <x v="34"/>
    <x v="34"/>
    <x v="1"/>
    <x v="8"/>
    <x v="21"/>
  </r>
  <r>
    <x v="4"/>
    <x v="36"/>
    <x v="3"/>
    <x v="53"/>
    <x v="53"/>
    <x v="0"/>
    <x v="8"/>
    <x v="8"/>
  </r>
  <r>
    <x v="4"/>
    <x v="36"/>
    <x v="3"/>
    <x v="75"/>
    <x v="75"/>
    <x v="0"/>
    <x v="8"/>
    <x v="8"/>
  </r>
  <r>
    <x v="5"/>
    <x v="37"/>
    <x v="2"/>
    <x v="18"/>
    <x v="18"/>
    <x v="1"/>
    <x v="11"/>
    <x v="61"/>
  </r>
  <r>
    <x v="5"/>
    <x v="37"/>
    <x v="2"/>
    <x v="10"/>
    <x v="10"/>
    <x v="2"/>
    <x v="9"/>
    <x v="66"/>
  </r>
  <r>
    <x v="5"/>
    <x v="37"/>
    <x v="2"/>
    <x v="19"/>
    <x v="19"/>
    <x v="7"/>
    <x v="12"/>
    <x v="60"/>
  </r>
  <r>
    <x v="5"/>
    <x v="37"/>
    <x v="3"/>
    <x v="12"/>
    <x v="12"/>
    <x v="1"/>
    <x v="8"/>
    <x v="21"/>
  </r>
  <r>
    <x v="5"/>
    <x v="38"/>
    <x v="0"/>
    <x v="4"/>
    <x v="4"/>
    <x v="1"/>
    <x v="3"/>
    <x v="3"/>
  </r>
  <r>
    <x v="5"/>
    <x v="38"/>
    <x v="0"/>
    <x v="7"/>
    <x v="7"/>
    <x v="5"/>
    <x v="6"/>
    <x v="18"/>
  </r>
  <r>
    <x v="5"/>
    <x v="38"/>
    <x v="2"/>
    <x v="10"/>
    <x v="10"/>
    <x v="1"/>
    <x v="9"/>
    <x v="67"/>
  </r>
  <r>
    <x v="5"/>
    <x v="39"/>
    <x v="0"/>
    <x v="4"/>
    <x v="4"/>
    <x v="1"/>
    <x v="3"/>
    <x v="3"/>
  </r>
  <r>
    <x v="5"/>
    <x v="39"/>
    <x v="0"/>
    <x v="21"/>
    <x v="21"/>
    <x v="0"/>
    <x v="14"/>
    <x v="17"/>
  </r>
  <r>
    <x v="5"/>
    <x v="39"/>
    <x v="0"/>
    <x v="7"/>
    <x v="7"/>
    <x v="6"/>
    <x v="6"/>
    <x v="50"/>
  </r>
  <r>
    <x v="5"/>
    <x v="39"/>
    <x v="0"/>
    <x v="39"/>
    <x v="39"/>
    <x v="0"/>
    <x v="17"/>
    <x v="24"/>
  </r>
  <r>
    <x v="5"/>
    <x v="39"/>
    <x v="4"/>
    <x v="67"/>
    <x v="67"/>
    <x v="0"/>
    <x v="17"/>
    <x v="24"/>
  </r>
  <r>
    <x v="5"/>
    <x v="39"/>
    <x v="3"/>
    <x v="11"/>
    <x v="11"/>
    <x v="8"/>
    <x v="8"/>
    <x v="68"/>
  </r>
  <r>
    <x v="5"/>
    <x v="39"/>
    <x v="3"/>
    <x v="30"/>
    <x v="30"/>
    <x v="0"/>
    <x v="8"/>
    <x v="8"/>
  </r>
  <r>
    <x v="5"/>
    <x v="39"/>
    <x v="3"/>
    <x v="34"/>
    <x v="34"/>
    <x v="1"/>
    <x v="8"/>
    <x v="21"/>
  </r>
  <r>
    <x v="5"/>
    <x v="40"/>
    <x v="0"/>
    <x v="4"/>
    <x v="4"/>
    <x v="7"/>
    <x v="3"/>
    <x v="39"/>
  </r>
  <r>
    <x v="5"/>
    <x v="40"/>
    <x v="0"/>
    <x v="6"/>
    <x v="6"/>
    <x v="7"/>
    <x v="5"/>
    <x v="37"/>
  </r>
  <r>
    <x v="5"/>
    <x v="40"/>
    <x v="0"/>
    <x v="7"/>
    <x v="7"/>
    <x v="3"/>
    <x v="6"/>
    <x v="69"/>
  </r>
  <r>
    <x v="5"/>
    <x v="40"/>
    <x v="1"/>
    <x v="56"/>
    <x v="56"/>
    <x v="0"/>
    <x v="24"/>
    <x v="44"/>
  </r>
  <r>
    <x v="5"/>
    <x v="40"/>
    <x v="1"/>
    <x v="65"/>
    <x v="65"/>
    <x v="0"/>
    <x v="7"/>
    <x v="7"/>
  </r>
  <r>
    <x v="5"/>
    <x v="40"/>
    <x v="1"/>
    <x v="58"/>
    <x v="58"/>
    <x v="1"/>
    <x v="8"/>
    <x v="21"/>
  </r>
  <r>
    <x v="5"/>
    <x v="40"/>
    <x v="3"/>
    <x v="25"/>
    <x v="25"/>
    <x v="0"/>
    <x v="8"/>
    <x v="8"/>
  </r>
  <r>
    <x v="5"/>
    <x v="40"/>
    <x v="3"/>
    <x v="30"/>
    <x v="30"/>
    <x v="0"/>
    <x v="8"/>
    <x v="8"/>
  </r>
  <r>
    <x v="5"/>
    <x v="40"/>
    <x v="3"/>
    <x v="34"/>
    <x v="34"/>
    <x v="2"/>
    <x v="8"/>
    <x v="29"/>
  </r>
  <r>
    <x v="5"/>
    <x v="40"/>
    <x v="3"/>
    <x v="75"/>
    <x v="75"/>
    <x v="0"/>
    <x v="8"/>
    <x v="8"/>
  </r>
  <r>
    <x v="5"/>
    <x v="41"/>
    <x v="2"/>
    <x v="19"/>
    <x v="19"/>
    <x v="5"/>
    <x v="12"/>
    <x v="48"/>
  </r>
  <r>
    <x v="5"/>
    <x v="42"/>
    <x v="0"/>
    <x v="4"/>
    <x v="4"/>
    <x v="5"/>
    <x v="3"/>
    <x v="46"/>
  </r>
  <r>
    <x v="5"/>
    <x v="42"/>
    <x v="0"/>
    <x v="43"/>
    <x v="94"/>
    <x v="0"/>
    <x v="19"/>
    <x v="28"/>
  </r>
  <r>
    <x v="5"/>
    <x v="42"/>
    <x v="0"/>
    <x v="6"/>
    <x v="6"/>
    <x v="2"/>
    <x v="5"/>
    <x v="52"/>
  </r>
  <r>
    <x v="5"/>
    <x v="42"/>
    <x v="0"/>
    <x v="7"/>
    <x v="7"/>
    <x v="5"/>
    <x v="6"/>
    <x v="18"/>
  </r>
  <r>
    <x v="5"/>
    <x v="42"/>
    <x v="1"/>
    <x v="94"/>
    <x v="95"/>
    <x v="0"/>
    <x v="8"/>
    <x v="8"/>
  </r>
  <r>
    <x v="5"/>
    <x v="42"/>
    <x v="2"/>
    <x v="18"/>
    <x v="18"/>
    <x v="0"/>
    <x v="11"/>
    <x v="12"/>
  </r>
  <r>
    <x v="5"/>
    <x v="42"/>
    <x v="3"/>
    <x v="12"/>
    <x v="12"/>
    <x v="0"/>
    <x v="8"/>
    <x v="8"/>
  </r>
  <r>
    <x v="5"/>
    <x v="43"/>
    <x v="0"/>
    <x v="95"/>
    <x v="96"/>
    <x v="0"/>
    <x v="1"/>
    <x v="1"/>
  </r>
  <r>
    <x v="5"/>
    <x v="43"/>
    <x v="0"/>
    <x v="50"/>
    <x v="50"/>
    <x v="0"/>
    <x v="22"/>
    <x v="35"/>
  </r>
  <r>
    <x v="5"/>
    <x v="43"/>
    <x v="0"/>
    <x v="6"/>
    <x v="6"/>
    <x v="0"/>
    <x v="5"/>
    <x v="16"/>
  </r>
  <r>
    <x v="5"/>
    <x v="43"/>
    <x v="1"/>
    <x v="71"/>
    <x v="71"/>
    <x v="0"/>
    <x v="8"/>
    <x v="8"/>
  </r>
  <r>
    <x v="5"/>
    <x v="43"/>
    <x v="2"/>
    <x v="24"/>
    <x v="24"/>
    <x v="2"/>
    <x v="16"/>
    <x v="43"/>
  </r>
  <r>
    <x v="5"/>
    <x v="43"/>
    <x v="2"/>
    <x v="40"/>
    <x v="40"/>
    <x v="2"/>
    <x v="16"/>
    <x v="43"/>
  </r>
  <r>
    <x v="5"/>
    <x v="43"/>
    <x v="4"/>
    <x v="41"/>
    <x v="41"/>
    <x v="0"/>
    <x v="18"/>
    <x v="27"/>
  </r>
  <r>
    <x v="5"/>
    <x v="43"/>
    <x v="3"/>
    <x v="34"/>
    <x v="34"/>
    <x v="1"/>
    <x v="8"/>
    <x v="21"/>
  </r>
  <r>
    <x v="5"/>
    <x v="43"/>
    <x v="3"/>
    <x v="53"/>
    <x v="53"/>
    <x v="0"/>
    <x v="8"/>
    <x v="8"/>
  </r>
  <r>
    <x v="5"/>
    <x v="44"/>
    <x v="0"/>
    <x v="50"/>
    <x v="50"/>
    <x v="0"/>
    <x v="22"/>
    <x v="35"/>
  </r>
  <r>
    <x v="5"/>
    <x v="44"/>
    <x v="0"/>
    <x v="4"/>
    <x v="4"/>
    <x v="7"/>
    <x v="3"/>
    <x v="39"/>
  </r>
  <r>
    <x v="5"/>
    <x v="44"/>
    <x v="0"/>
    <x v="6"/>
    <x v="6"/>
    <x v="2"/>
    <x v="5"/>
    <x v="52"/>
  </r>
  <r>
    <x v="5"/>
    <x v="44"/>
    <x v="0"/>
    <x v="7"/>
    <x v="7"/>
    <x v="3"/>
    <x v="6"/>
    <x v="69"/>
  </r>
  <r>
    <x v="5"/>
    <x v="44"/>
    <x v="1"/>
    <x v="66"/>
    <x v="66"/>
    <x v="0"/>
    <x v="8"/>
    <x v="8"/>
  </r>
  <r>
    <x v="5"/>
    <x v="44"/>
    <x v="1"/>
    <x v="96"/>
    <x v="97"/>
    <x v="0"/>
    <x v="8"/>
    <x v="8"/>
  </r>
  <r>
    <x v="5"/>
    <x v="44"/>
    <x v="1"/>
    <x v="8"/>
    <x v="8"/>
    <x v="1"/>
    <x v="7"/>
    <x v="70"/>
  </r>
  <r>
    <x v="5"/>
    <x v="44"/>
    <x v="2"/>
    <x v="19"/>
    <x v="19"/>
    <x v="5"/>
    <x v="12"/>
    <x v="48"/>
  </r>
  <r>
    <x v="5"/>
    <x v="44"/>
    <x v="4"/>
    <x v="35"/>
    <x v="35"/>
    <x v="0"/>
    <x v="17"/>
    <x v="24"/>
  </r>
  <r>
    <x v="5"/>
    <x v="44"/>
    <x v="4"/>
    <x v="67"/>
    <x v="67"/>
    <x v="0"/>
    <x v="17"/>
    <x v="24"/>
  </r>
  <r>
    <x v="5"/>
    <x v="44"/>
    <x v="4"/>
    <x v="68"/>
    <x v="68"/>
    <x v="0"/>
    <x v="15"/>
    <x v="19"/>
  </r>
  <r>
    <x v="5"/>
    <x v="44"/>
    <x v="3"/>
    <x v="97"/>
    <x v="98"/>
    <x v="0"/>
    <x v="33"/>
    <x v="71"/>
  </r>
  <r>
    <x v="5"/>
    <x v="44"/>
    <x v="3"/>
    <x v="11"/>
    <x v="11"/>
    <x v="2"/>
    <x v="8"/>
    <x v="29"/>
  </r>
  <r>
    <x v="5"/>
    <x v="44"/>
    <x v="3"/>
    <x v="60"/>
    <x v="60"/>
    <x v="1"/>
    <x v="8"/>
    <x v="21"/>
  </r>
  <r>
    <x v="5"/>
    <x v="44"/>
    <x v="3"/>
    <x v="89"/>
    <x v="89"/>
    <x v="0"/>
    <x v="31"/>
    <x v="21"/>
  </r>
  <r>
    <x v="5"/>
    <x v="44"/>
    <x v="3"/>
    <x v="27"/>
    <x v="27"/>
    <x v="1"/>
    <x v="8"/>
    <x v="21"/>
  </r>
  <r>
    <x v="5"/>
    <x v="44"/>
    <x v="3"/>
    <x v="28"/>
    <x v="28"/>
    <x v="0"/>
    <x v="8"/>
    <x v="8"/>
  </r>
  <r>
    <x v="5"/>
    <x v="44"/>
    <x v="3"/>
    <x v="98"/>
    <x v="99"/>
    <x v="0"/>
    <x v="8"/>
    <x v="8"/>
  </r>
  <r>
    <x v="5"/>
    <x v="44"/>
    <x v="3"/>
    <x v="13"/>
    <x v="13"/>
    <x v="1"/>
    <x v="8"/>
    <x v="21"/>
  </r>
  <r>
    <x v="5"/>
    <x v="44"/>
    <x v="3"/>
    <x v="30"/>
    <x v="30"/>
    <x v="0"/>
    <x v="8"/>
    <x v="8"/>
  </r>
  <r>
    <x v="5"/>
    <x v="44"/>
    <x v="3"/>
    <x v="34"/>
    <x v="34"/>
    <x v="1"/>
    <x v="8"/>
    <x v="21"/>
  </r>
  <r>
    <x v="5"/>
    <x v="44"/>
    <x v="3"/>
    <x v="53"/>
    <x v="53"/>
    <x v="0"/>
    <x v="8"/>
    <x v="8"/>
  </r>
  <r>
    <x v="6"/>
    <x v="45"/>
    <x v="0"/>
    <x v="0"/>
    <x v="0"/>
    <x v="0"/>
    <x v="0"/>
    <x v="0"/>
  </r>
  <r>
    <x v="6"/>
    <x v="45"/>
    <x v="0"/>
    <x v="1"/>
    <x v="1"/>
    <x v="0"/>
    <x v="1"/>
    <x v="1"/>
  </r>
  <r>
    <x v="6"/>
    <x v="45"/>
    <x v="0"/>
    <x v="4"/>
    <x v="4"/>
    <x v="7"/>
    <x v="3"/>
    <x v="39"/>
  </r>
  <r>
    <x v="6"/>
    <x v="45"/>
    <x v="0"/>
    <x v="6"/>
    <x v="6"/>
    <x v="5"/>
    <x v="5"/>
    <x v="47"/>
  </r>
  <r>
    <x v="6"/>
    <x v="45"/>
    <x v="0"/>
    <x v="7"/>
    <x v="7"/>
    <x v="1"/>
    <x v="6"/>
    <x v="23"/>
  </r>
  <r>
    <x v="6"/>
    <x v="45"/>
    <x v="2"/>
    <x v="10"/>
    <x v="10"/>
    <x v="6"/>
    <x v="9"/>
    <x v="54"/>
  </r>
  <r>
    <x v="6"/>
    <x v="45"/>
    <x v="3"/>
    <x v="11"/>
    <x v="11"/>
    <x v="10"/>
    <x v="8"/>
    <x v="72"/>
  </r>
  <r>
    <x v="6"/>
    <x v="45"/>
    <x v="3"/>
    <x v="12"/>
    <x v="12"/>
    <x v="0"/>
    <x v="8"/>
    <x v="8"/>
  </r>
  <r>
    <x v="6"/>
    <x v="45"/>
    <x v="3"/>
    <x v="61"/>
    <x v="61"/>
    <x v="0"/>
    <x v="8"/>
    <x v="8"/>
  </r>
  <r>
    <x v="6"/>
    <x v="45"/>
    <x v="3"/>
    <x v="30"/>
    <x v="30"/>
    <x v="1"/>
    <x v="8"/>
    <x v="21"/>
  </r>
  <r>
    <x v="6"/>
    <x v="45"/>
    <x v="3"/>
    <x v="31"/>
    <x v="31"/>
    <x v="0"/>
    <x v="10"/>
    <x v="11"/>
  </r>
  <r>
    <x v="6"/>
    <x v="45"/>
    <x v="3"/>
    <x v="62"/>
    <x v="62"/>
    <x v="0"/>
    <x v="8"/>
    <x v="8"/>
  </r>
  <r>
    <x v="6"/>
    <x v="46"/>
    <x v="0"/>
    <x v="4"/>
    <x v="4"/>
    <x v="5"/>
    <x v="3"/>
    <x v="46"/>
  </r>
  <r>
    <x v="6"/>
    <x v="46"/>
    <x v="0"/>
    <x v="7"/>
    <x v="7"/>
    <x v="2"/>
    <x v="6"/>
    <x v="6"/>
  </r>
  <r>
    <x v="6"/>
    <x v="46"/>
    <x v="1"/>
    <x v="57"/>
    <x v="57"/>
    <x v="0"/>
    <x v="7"/>
    <x v="7"/>
  </r>
  <r>
    <x v="6"/>
    <x v="46"/>
    <x v="2"/>
    <x v="18"/>
    <x v="18"/>
    <x v="1"/>
    <x v="11"/>
    <x v="61"/>
  </r>
  <r>
    <x v="6"/>
    <x v="46"/>
    <x v="2"/>
    <x v="19"/>
    <x v="19"/>
    <x v="5"/>
    <x v="12"/>
    <x v="48"/>
  </r>
  <r>
    <x v="6"/>
    <x v="46"/>
    <x v="2"/>
    <x v="55"/>
    <x v="55"/>
    <x v="0"/>
    <x v="9"/>
    <x v="41"/>
  </r>
  <r>
    <x v="6"/>
    <x v="46"/>
    <x v="3"/>
    <x v="13"/>
    <x v="13"/>
    <x v="0"/>
    <x v="8"/>
    <x v="8"/>
  </r>
  <r>
    <x v="6"/>
    <x v="46"/>
    <x v="3"/>
    <x v="14"/>
    <x v="14"/>
    <x v="0"/>
    <x v="8"/>
    <x v="8"/>
  </r>
  <r>
    <x v="6"/>
    <x v="46"/>
    <x v="3"/>
    <x v="30"/>
    <x v="30"/>
    <x v="0"/>
    <x v="8"/>
    <x v="8"/>
  </r>
  <r>
    <x v="6"/>
    <x v="46"/>
    <x v="3"/>
    <x v="53"/>
    <x v="53"/>
    <x v="0"/>
    <x v="8"/>
    <x v="8"/>
  </r>
  <r>
    <x v="6"/>
    <x v="47"/>
    <x v="2"/>
    <x v="55"/>
    <x v="55"/>
    <x v="0"/>
    <x v="9"/>
    <x v="41"/>
  </r>
  <r>
    <x v="6"/>
    <x v="48"/>
    <x v="0"/>
    <x v="5"/>
    <x v="5"/>
    <x v="0"/>
    <x v="4"/>
    <x v="4"/>
  </r>
  <r>
    <x v="6"/>
    <x v="48"/>
    <x v="0"/>
    <x v="6"/>
    <x v="6"/>
    <x v="1"/>
    <x v="5"/>
    <x v="5"/>
  </r>
  <r>
    <x v="6"/>
    <x v="48"/>
    <x v="0"/>
    <x v="7"/>
    <x v="7"/>
    <x v="5"/>
    <x v="6"/>
    <x v="18"/>
  </r>
  <r>
    <x v="6"/>
    <x v="48"/>
    <x v="5"/>
    <x v="99"/>
    <x v="100"/>
    <x v="0"/>
    <x v="10"/>
    <x v="11"/>
  </r>
  <r>
    <x v="6"/>
    <x v="48"/>
    <x v="1"/>
    <x v="100"/>
    <x v="101"/>
    <x v="0"/>
    <x v="8"/>
    <x v="8"/>
  </r>
  <r>
    <x v="6"/>
    <x v="48"/>
    <x v="4"/>
    <x v="59"/>
    <x v="59"/>
    <x v="0"/>
    <x v="18"/>
    <x v="27"/>
  </r>
  <r>
    <x v="6"/>
    <x v="49"/>
    <x v="0"/>
    <x v="3"/>
    <x v="3"/>
    <x v="0"/>
    <x v="1"/>
    <x v="1"/>
  </r>
  <r>
    <x v="6"/>
    <x v="49"/>
    <x v="0"/>
    <x v="4"/>
    <x v="4"/>
    <x v="1"/>
    <x v="3"/>
    <x v="3"/>
  </r>
  <r>
    <x v="6"/>
    <x v="49"/>
    <x v="0"/>
    <x v="7"/>
    <x v="7"/>
    <x v="1"/>
    <x v="6"/>
    <x v="23"/>
  </r>
  <r>
    <x v="6"/>
    <x v="49"/>
    <x v="0"/>
    <x v="101"/>
    <x v="102"/>
    <x v="0"/>
    <x v="5"/>
    <x v="16"/>
  </r>
  <r>
    <x v="6"/>
    <x v="50"/>
    <x v="0"/>
    <x v="4"/>
    <x v="4"/>
    <x v="0"/>
    <x v="3"/>
    <x v="22"/>
  </r>
  <r>
    <x v="6"/>
    <x v="50"/>
    <x v="0"/>
    <x v="6"/>
    <x v="6"/>
    <x v="1"/>
    <x v="5"/>
    <x v="5"/>
  </r>
  <r>
    <x v="6"/>
    <x v="50"/>
    <x v="0"/>
    <x v="7"/>
    <x v="7"/>
    <x v="0"/>
    <x v="6"/>
    <x v="45"/>
  </r>
  <r>
    <x v="6"/>
    <x v="50"/>
    <x v="1"/>
    <x v="8"/>
    <x v="8"/>
    <x v="0"/>
    <x v="7"/>
    <x v="7"/>
  </r>
  <r>
    <x v="6"/>
    <x v="50"/>
    <x v="3"/>
    <x v="89"/>
    <x v="89"/>
    <x v="0"/>
    <x v="31"/>
    <x v="21"/>
  </r>
  <r>
    <x v="6"/>
    <x v="50"/>
    <x v="3"/>
    <x v="27"/>
    <x v="27"/>
    <x v="0"/>
    <x v="8"/>
    <x v="8"/>
  </r>
  <r>
    <x v="6"/>
    <x v="50"/>
    <x v="3"/>
    <x v="29"/>
    <x v="29"/>
    <x v="0"/>
    <x v="8"/>
    <x v="8"/>
  </r>
  <r>
    <x v="6"/>
    <x v="50"/>
    <x v="3"/>
    <x v="14"/>
    <x v="14"/>
    <x v="5"/>
    <x v="8"/>
    <x v="1"/>
  </r>
  <r>
    <x v="6"/>
    <x v="50"/>
    <x v="3"/>
    <x v="30"/>
    <x v="30"/>
    <x v="1"/>
    <x v="8"/>
    <x v="21"/>
  </r>
  <r>
    <x v="6"/>
    <x v="50"/>
    <x v="3"/>
    <x v="15"/>
    <x v="15"/>
    <x v="0"/>
    <x v="8"/>
    <x v="8"/>
  </r>
  <r>
    <x v="6"/>
    <x v="50"/>
    <x v="3"/>
    <x v="34"/>
    <x v="34"/>
    <x v="1"/>
    <x v="8"/>
    <x v="21"/>
  </r>
  <r>
    <x v="6"/>
    <x v="50"/>
    <x v="3"/>
    <x v="53"/>
    <x v="53"/>
    <x v="1"/>
    <x v="8"/>
    <x v="21"/>
  </r>
  <r>
    <x v="6"/>
    <x v="51"/>
    <x v="0"/>
    <x v="42"/>
    <x v="42"/>
    <x v="0"/>
    <x v="1"/>
    <x v="1"/>
  </r>
  <r>
    <x v="6"/>
    <x v="51"/>
    <x v="0"/>
    <x v="4"/>
    <x v="4"/>
    <x v="1"/>
    <x v="3"/>
    <x v="3"/>
  </r>
  <r>
    <x v="6"/>
    <x v="51"/>
    <x v="0"/>
    <x v="6"/>
    <x v="6"/>
    <x v="7"/>
    <x v="5"/>
    <x v="37"/>
  </r>
  <r>
    <x v="6"/>
    <x v="51"/>
    <x v="0"/>
    <x v="7"/>
    <x v="7"/>
    <x v="9"/>
    <x v="6"/>
    <x v="62"/>
  </r>
  <r>
    <x v="6"/>
    <x v="51"/>
    <x v="5"/>
    <x v="102"/>
    <x v="103"/>
    <x v="0"/>
    <x v="1"/>
    <x v="1"/>
  </r>
  <r>
    <x v="6"/>
    <x v="51"/>
    <x v="1"/>
    <x v="8"/>
    <x v="8"/>
    <x v="0"/>
    <x v="7"/>
    <x v="7"/>
  </r>
  <r>
    <x v="6"/>
    <x v="51"/>
    <x v="2"/>
    <x v="24"/>
    <x v="24"/>
    <x v="11"/>
    <x v="16"/>
    <x v="4"/>
  </r>
  <r>
    <x v="6"/>
    <x v="51"/>
    <x v="2"/>
    <x v="40"/>
    <x v="40"/>
    <x v="2"/>
    <x v="16"/>
    <x v="43"/>
  </r>
  <r>
    <x v="6"/>
    <x v="51"/>
    <x v="2"/>
    <x v="19"/>
    <x v="19"/>
    <x v="5"/>
    <x v="12"/>
    <x v="48"/>
  </r>
  <r>
    <x v="6"/>
    <x v="51"/>
    <x v="4"/>
    <x v="83"/>
    <x v="83"/>
    <x v="0"/>
    <x v="0"/>
    <x v="0"/>
  </r>
  <r>
    <x v="6"/>
    <x v="51"/>
    <x v="3"/>
    <x v="12"/>
    <x v="12"/>
    <x v="1"/>
    <x v="8"/>
    <x v="21"/>
  </r>
  <r>
    <x v="6"/>
    <x v="51"/>
    <x v="3"/>
    <x v="28"/>
    <x v="28"/>
    <x v="0"/>
    <x v="8"/>
    <x v="8"/>
  </r>
  <r>
    <x v="6"/>
    <x v="51"/>
    <x v="3"/>
    <x v="30"/>
    <x v="30"/>
    <x v="0"/>
    <x v="8"/>
    <x v="8"/>
  </r>
  <r>
    <x v="6"/>
    <x v="51"/>
    <x v="3"/>
    <x v="62"/>
    <x v="62"/>
    <x v="0"/>
    <x v="8"/>
    <x v="8"/>
  </r>
  <r>
    <x v="6"/>
    <x v="51"/>
    <x v="3"/>
    <x v="34"/>
    <x v="34"/>
    <x v="5"/>
    <x v="8"/>
    <x v="1"/>
  </r>
  <r>
    <x v="6"/>
    <x v="51"/>
    <x v="3"/>
    <x v="53"/>
    <x v="53"/>
    <x v="0"/>
    <x v="8"/>
    <x v="8"/>
  </r>
  <r>
    <x v="6"/>
    <x v="52"/>
    <x v="0"/>
    <x v="0"/>
    <x v="0"/>
    <x v="0"/>
    <x v="0"/>
    <x v="0"/>
  </r>
  <r>
    <x v="6"/>
    <x v="52"/>
    <x v="0"/>
    <x v="4"/>
    <x v="4"/>
    <x v="7"/>
    <x v="3"/>
    <x v="39"/>
  </r>
  <r>
    <x v="6"/>
    <x v="52"/>
    <x v="0"/>
    <x v="6"/>
    <x v="6"/>
    <x v="1"/>
    <x v="5"/>
    <x v="5"/>
  </r>
  <r>
    <x v="6"/>
    <x v="52"/>
    <x v="0"/>
    <x v="7"/>
    <x v="7"/>
    <x v="5"/>
    <x v="6"/>
    <x v="18"/>
  </r>
  <r>
    <x v="6"/>
    <x v="52"/>
    <x v="0"/>
    <x v="37"/>
    <x v="37"/>
    <x v="0"/>
    <x v="14"/>
    <x v="17"/>
  </r>
  <r>
    <x v="6"/>
    <x v="52"/>
    <x v="2"/>
    <x v="19"/>
    <x v="19"/>
    <x v="1"/>
    <x v="12"/>
    <x v="25"/>
  </r>
  <r>
    <x v="6"/>
    <x v="52"/>
    <x v="4"/>
    <x v="83"/>
    <x v="83"/>
    <x v="0"/>
    <x v="0"/>
    <x v="0"/>
  </r>
  <r>
    <x v="6"/>
    <x v="52"/>
    <x v="3"/>
    <x v="11"/>
    <x v="11"/>
    <x v="0"/>
    <x v="8"/>
    <x v="8"/>
  </r>
  <r>
    <x v="6"/>
    <x v="52"/>
    <x v="3"/>
    <x v="103"/>
    <x v="104"/>
    <x v="0"/>
    <x v="8"/>
    <x v="8"/>
  </r>
  <r>
    <x v="6"/>
    <x v="52"/>
    <x v="3"/>
    <x v="89"/>
    <x v="89"/>
    <x v="0"/>
    <x v="31"/>
    <x v="21"/>
  </r>
  <r>
    <x v="6"/>
    <x v="52"/>
    <x v="3"/>
    <x v="28"/>
    <x v="28"/>
    <x v="0"/>
    <x v="8"/>
    <x v="8"/>
  </r>
  <r>
    <x v="6"/>
    <x v="52"/>
    <x v="3"/>
    <x v="98"/>
    <x v="99"/>
    <x v="0"/>
    <x v="8"/>
    <x v="8"/>
  </r>
  <r>
    <x v="6"/>
    <x v="52"/>
    <x v="3"/>
    <x v="104"/>
    <x v="105"/>
    <x v="0"/>
    <x v="8"/>
    <x v="8"/>
  </r>
  <r>
    <x v="6"/>
    <x v="52"/>
    <x v="3"/>
    <x v="30"/>
    <x v="30"/>
    <x v="0"/>
    <x v="8"/>
    <x v="8"/>
  </r>
  <r>
    <x v="6"/>
    <x v="52"/>
    <x v="3"/>
    <x v="77"/>
    <x v="77"/>
    <x v="0"/>
    <x v="8"/>
    <x v="8"/>
  </r>
  <r>
    <x v="7"/>
    <x v="53"/>
    <x v="0"/>
    <x v="80"/>
    <x v="80"/>
    <x v="0"/>
    <x v="26"/>
    <x v="56"/>
  </r>
  <r>
    <x v="7"/>
    <x v="53"/>
    <x v="0"/>
    <x v="95"/>
    <x v="96"/>
    <x v="0"/>
    <x v="1"/>
    <x v="1"/>
  </r>
  <r>
    <x v="7"/>
    <x v="53"/>
    <x v="0"/>
    <x v="4"/>
    <x v="4"/>
    <x v="4"/>
    <x v="3"/>
    <x v="73"/>
  </r>
  <r>
    <x v="7"/>
    <x v="53"/>
    <x v="0"/>
    <x v="6"/>
    <x v="6"/>
    <x v="2"/>
    <x v="5"/>
    <x v="52"/>
  </r>
  <r>
    <x v="7"/>
    <x v="53"/>
    <x v="0"/>
    <x v="7"/>
    <x v="7"/>
    <x v="9"/>
    <x v="6"/>
    <x v="62"/>
  </r>
  <r>
    <x v="7"/>
    <x v="53"/>
    <x v="0"/>
    <x v="39"/>
    <x v="39"/>
    <x v="1"/>
    <x v="17"/>
    <x v="40"/>
  </r>
  <r>
    <x v="7"/>
    <x v="53"/>
    <x v="1"/>
    <x v="100"/>
    <x v="101"/>
    <x v="0"/>
    <x v="8"/>
    <x v="8"/>
  </r>
  <r>
    <x v="7"/>
    <x v="53"/>
    <x v="2"/>
    <x v="10"/>
    <x v="10"/>
    <x v="3"/>
    <x v="9"/>
    <x v="9"/>
  </r>
  <r>
    <x v="7"/>
    <x v="53"/>
    <x v="3"/>
    <x v="11"/>
    <x v="11"/>
    <x v="12"/>
    <x v="8"/>
    <x v="56"/>
  </r>
  <r>
    <x v="7"/>
    <x v="53"/>
    <x v="3"/>
    <x v="60"/>
    <x v="60"/>
    <x v="0"/>
    <x v="8"/>
    <x v="8"/>
  </r>
  <r>
    <x v="7"/>
    <x v="53"/>
    <x v="3"/>
    <x v="73"/>
    <x v="73"/>
    <x v="0"/>
    <x v="8"/>
    <x v="8"/>
  </r>
  <r>
    <x v="7"/>
    <x v="53"/>
    <x v="3"/>
    <x v="64"/>
    <x v="64"/>
    <x v="0"/>
    <x v="8"/>
    <x v="8"/>
  </r>
  <r>
    <x v="7"/>
    <x v="53"/>
    <x v="3"/>
    <x v="89"/>
    <x v="89"/>
    <x v="1"/>
    <x v="31"/>
    <x v="24"/>
  </r>
  <r>
    <x v="7"/>
    <x v="53"/>
    <x v="3"/>
    <x v="27"/>
    <x v="27"/>
    <x v="0"/>
    <x v="8"/>
    <x v="8"/>
  </r>
  <r>
    <x v="7"/>
    <x v="53"/>
    <x v="3"/>
    <x v="28"/>
    <x v="28"/>
    <x v="0"/>
    <x v="8"/>
    <x v="8"/>
  </r>
  <r>
    <x v="7"/>
    <x v="53"/>
    <x v="3"/>
    <x v="13"/>
    <x v="13"/>
    <x v="1"/>
    <x v="8"/>
    <x v="21"/>
  </r>
  <r>
    <x v="7"/>
    <x v="53"/>
    <x v="3"/>
    <x v="30"/>
    <x v="30"/>
    <x v="5"/>
    <x v="8"/>
    <x v="1"/>
  </r>
  <r>
    <x v="7"/>
    <x v="53"/>
    <x v="3"/>
    <x v="62"/>
    <x v="62"/>
    <x v="0"/>
    <x v="8"/>
    <x v="8"/>
  </r>
  <r>
    <x v="7"/>
    <x v="53"/>
    <x v="3"/>
    <x v="34"/>
    <x v="34"/>
    <x v="5"/>
    <x v="8"/>
    <x v="1"/>
  </r>
  <r>
    <x v="7"/>
    <x v="53"/>
    <x v="3"/>
    <x v="77"/>
    <x v="77"/>
    <x v="0"/>
    <x v="8"/>
    <x v="8"/>
  </r>
  <r>
    <x v="8"/>
    <x v="54"/>
    <x v="0"/>
    <x v="82"/>
    <x v="82"/>
    <x v="0"/>
    <x v="28"/>
    <x v="58"/>
  </r>
  <r>
    <x v="8"/>
    <x v="54"/>
    <x v="2"/>
    <x v="24"/>
    <x v="24"/>
    <x v="3"/>
    <x v="16"/>
    <x v="74"/>
  </r>
  <r>
    <x v="8"/>
    <x v="54"/>
    <x v="2"/>
    <x v="18"/>
    <x v="18"/>
    <x v="5"/>
    <x v="11"/>
    <x v="42"/>
  </r>
  <r>
    <x v="8"/>
    <x v="54"/>
    <x v="2"/>
    <x v="40"/>
    <x v="40"/>
    <x v="2"/>
    <x v="16"/>
    <x v="43"/>
  </r>
  <r>
    <x v="8"/>
    <x v="54"/>
    <x v="2"/>
    <x v="105"/>
    <x v="106"/>
    <x v="5"/>
    <x v="9"/>
    <x v="75"/>
  </r>
  <r>
    <x v="8"/>
    <x v="54"/>
    <x v="2"/>
    <x v="19"/>
    <x v="19"/>
    <x v="2"/>
    <x v="12"/>
    <x v="9"/>
  </r>
  <r>
    <x v="8"/>
    <x v="54"/>
    <x v="2"/>
    <x v="20"/>
    <x v="20"/>
    <x v="1"/>
    <x v="13"/>
    <x v="7"/>
  </r>
  <r>
    <x v="8"/>
    <x v="54"/>
    <x v="2"/>
    <x v="55"/>
    <x v="55"/>
    <x v="1"/>
    <x v="9"/>
    <x v="67"/>
  </r>
  <r>
    <x v="9"/>
    <x v="55"/>
    <x v="2"/>
    <x v="10"/>
    <x v="10"/>
    <x v="3"/>
    <x v="9"/>
    <x v="9"/>
  </r>
  <r>
    <x v="9"/>
    <x v="56"/>
    <x v="0"/>
    <x v="4"/>
    <x v="4"/>
    <x v="0"/>
    <x v="3"/>
    <x v="22"/>
  </r>
  <r>
    <x v="9"/>
    <x v="56"/>
    <x v="0"/>
    <x v="6"/>
    <x v="6"/>
    <x v="0"/>
    <x v="5"/>
    <x v="16"/>
  </r>
  <r>
    <x v="9"/>
    <x v="56"/>
    <x v="0"/>
    <x v="7"/>
    <x v="7"/>
    <x v="0"/>
    <x v="6"/>
    <x v="45"/>
  </r>
  <r>
    <x v="9"/>
    <x v="56"/>
    <x v="4"/>
    <x v="83"/>
    <x v="83"/>
    <x v="0"/>
    <x v="0"/>
    <x v="0"/>
  </r>
  <r>
    <x v="9"/>
    <x v="56"/>
    <x v="4"/>
    <x v="68"/>
    <x v="68"/>
    <x v="0"/>
    <x v="15"/>
    <x v="19"/>
  </r>
  <r>
    <x v="9"/>
    <x v="57"/>
    <x v="6"/>
    <x v="106"/>
    <x v="107"/>
    <x v="0"/>
    <x v="11"/>
    <x v="12"/>
  </r>
  <r>
    <x v="9"/>
    <x v="57"/>
    <x v="6"/>
    <x v="107"/>
    <x v="108"/>
    <x v="0"/>
    <x v="17"/>
    <x v="24"/>
  </r>
  <r>
    <x v="9"/>
    <x v="57"/>
    <x v="6"/>
    <x v="108"/>
    <x v="109"/>
    <x v="0"/>
    <x v="19"/>
    <x v="28"/>
  </r>
  <r>
    <x v="9"/>
    <x v="58"/>
    <x v="0"/>
    <x v="4"/>
    <x v="4"/>
    <x v="0"/>
    <x v="3"/>
    <x v="22"/>
  </r>
  <r>
    <x v="9"/>
    <x v="58"/>
    <x v="0"/>
    <x v="6"/>
    <x v="6"/>
    <x v="1"/>
    <x v="5"/>
    <x v="5"/>
  </r>
  <r>
    <x v="9"/>
    <x v="58"/>
    <x v="0"/>
    <x v="7"/>
    <x v="7"/>
    <x v="0"/>
    <x v="6"/>
    <x v="45"/>
  </r>
  <r>
    <x v="9"/>
    <x v="58"/>
    <x v="1"/>
    <x v="109"/>
    <x v="110"/>
    <x v="0"/>
    <x v="24"/>
    <x v="44"/>
  </r>
  <r>
    <x v="9"/>
    <x v="58"/>
    <x v="3"/>
    <x v="12"/>
    <x v="12"/>
    <x v="1"/>
    <x v="8"/>
    <x v="21"/>
  </r>
  <r>
    <x v="9"/>
    <x v="58"/>
    <x v="3"/>
    <x v="110"/>
    <x v="111"/>
    <x v="0"/>
    <x v="31"/>
    <x v="21"/>
  </r>
  <r>
    <x v="9"/>
    <x v="58"/>
    <x v="3"/>
    <x v="73"/>
    <x v="73"/>
    <x v="0"/>
    <x v="8"/>
    <x v="8"/>
  </r>
  <r>
    <x v="9"/>
    <x v="58"/>
    <x v="3"/>
    <x v="27"/>
    <x v="27"/>
    <x v="0"/>
    <x v="8"/>
    <x v="8"/>
  </r>
  <r>
    <x v="9"/>
    <x v="58"/>
    <x v="3"/>
    <x v="28"/>
    <x v="28"/>
    <x v="0"/>
    <x v="8"/>
    <x v="8"/>
  </r>
  <r>
    <x v="9"/>
    <x v="58"/>
    <x v="3"/>
    <x v="111"/>
    <x v="112"/>
    <x v="0"/>
    <x v="8"/>
    <x v="8"/>
  </r>
  <r>
    <x v="9"/>
    <x v="58"/>
    <x v="3"/>
    <x v="13"/>
    <x v="13"/>
    <x v="0"/>
    <x v="8"/>
    <x v="8"/>
  </r>
  <r>
    <x v="9"/>
    <x v="58"/>
    <x v="3"/>
    <x v="112"/>
    <x v="113"/>
    <x v="0"/>
    <x v="8"/>
    <x v="8"/>
  </r>
  <r>
    <x v="9"/>
    <x v="58"/>
    <x v="3"/>
    <x v="34"/>
    <x v="34"/>
    <x v="0"/>
    <x v="8"/>
    <x v="8"/>
  </r>
  <r>
    <x v="9"/>
    <x v="58"/>
    <x v="3"/>
    <x v="77"/>
    <x v="77"/>
    <x v="0"/>
    <x v="8"/>
    <x v="8"/>
  </r>
  <r>
    <x v="9"/>
    <x v="59"/>
    <x v="2"/>
    <x v="24"/>
    <x v="24"/>
    <x v="7"/>
    <x v="16"/>
    <x v="26"/>
  </r>
  <r>
    <x v="9"/>
    <x v="59"/>
    <x v="2"/>
    <x v="40"/>
    <x v="40"/>
    <x v="13"/>
    <x v="16"/>
    <x v="76"/>
  </r>
  <r>
    <x v="9"/>
    <x v="59"/>
    <x v="2"/>
    <x v="19"/>
    <x v="19"/>
    <x v="5"/>
    <x v="12"/>
    <x v="48"/>
  </r>
  <r>
    <x v="9"/>
    <x v="59"/>
    <x v="2"/>
    <x v="55"/>
    <x v="55"/>
    <x v="0"/>
    <x v="9"/>
    <x v="41"/>
  </r>
  <r>
    <x v="9"/>
    <x v="59"/>
    <x v="3"/>
    <x v="11"/>
    <x v="11"/>
    <x v="0"/>
    <x v="8"/>
    <x v="8"/>
  </r>
  <r>
    <x v="9"/>
    <x v="59"/>
    <x v="3"/>
    <x v="12"/>
    <x v="12"/>
    <x v="1"/>
    <x v="8"/>
    <x v="21"/>
  </r>
  <r>
    <x v="9"/>
    <x v="59"/>
    <x v="3"/>
    <x v="27"/>
    <x v="27"/>
    <x v="0"/>
    <x v="8"/>
    <x v="8"/>
  </r>
  <r>
    <x v="9"/>
    <x v="60"/>
    <x v="0"/>
    <x v="4"/>
    <x v="4"/>
    <x v="0"/>
    <x v="3"/>
    <x v="22"/>
  </r>
  <r>
    <x v="9"/>
    <x v="60"/>
    <x v="0"/>
    <x v="6"/>
    <x v="6"/>
    <x v="1"/>
    <x v="5"/>
    <x v="5"/>
  </r>
  <r>
    <x v="9"/>
    <x v="60"/>
    <x v="0"/>
    <x v="21"/>
    <x v="21"/>
    <x v="0"/>
    <x v="14"/>
    <x v="17"/>
  </r>
  <r>
    <x v="9"/>
    <x v="60"/>
    <x v="0"/>
    <x v="7"/>
    <x v="7"/>
    <x v="9"/>
    <x v="6"/>
    <x v="62"/>
  </r>
  <r>
    <x v="9"/>
    <x v="60"/>
    <x v="4"/>
    <x v="59"/>
    <x v="59"/>
    <x v="0"/>
    <x v="18"/>
    <x v="27"/>
  </r>
  <r>
    <x v="9"/>
    <x v="61"/>
    <x v="0"/>
    <x v="0"/>
    <x v="0"/>
    <x v="0"/>
    <x v="0"/>
    <x v="0"/>
  </r>
  <r>
    <x v="9"/>
    <x v="61"/>
    <x v="0"/>
    <x v="4"/>
    <x v="4"/>
    <x v="2"/>
    <x v="3"/>
    <x v="15"/>
  </r>
  <r>
    <x v="9"/>
    <x v="61"/>
    <x v="0"/>
    <x v="6"/>
    <x v="6"/>
    <x v="2"/>
    <x v="5"/>
    <x v="52"/>
  </r>
  <r>
    <x v="9"/>
    <x v="61"/>
    <x v="0"/>
    <x v="21"/>
    <x v="21"/>
    <x v="0"/>
    <x v="14"/>
    <x v="17"/>
  </r>
  <r>
    <x v="9"/>
    <x v="61"/>
    <x v="0"/>
    <x v="7"/>
    <x v="7"/>
    <x v="5"/>
    <x v="6"/>
    <x v="18"/>
  </r>
  <r>
    <x v="9"/>
    <x v="61"/>
    <x v="0"/>
    <x v="39"/>
    <x v="39"/>
    <x v="7"/>
    <x v="17"/>
    <x v="65"/>
  </r>
  <r>
    <x v="9"/>
    <x v="61"/>
    <x v="1"/>
    <x v="8"/>
    <x v="8"/>
    <x v="1"/>
    <x v="7"/>
    <x v="70"/>
  </r>
  <r>
    <x v="9"/>
    <x v="61"/>
    <x v="1"/>
    <x v="100"/>
    <x v="101"/>
    <x v="0"/>
    <x v="8"/>
    <x v="8"/>
  </r>
  <r>
    <x v="9"/>
    <x v="61"/>
    <x v="4"/>
    <x v="67"/>
    <x v="67"/>
    <x v="0"/>
    <x v="17"/>
    <x v="24"/>
  </r>
  <r>
    <x v="9"/>
    <x v="61"/>
    <x v="3"/>
    <x v="28"/>
    <x v="28"/>
    <x v="0"/>
    <x v="8"/>
    <x v="8"/>
  </r>
  <r>
    <x v="9"/>
    <x v="61"/>
    <x v="3"/>
    <x v="14"/>
    <x v="14"/>
    <x v="0"/>
    <x v="8"/>
    <x v="8"/>
  </r>
  <r>
    <x v="9"/>
    <x v="61"/>
    <x v="3"/>
    <x v="31"/>
    <x v="31"/>
    <x v="0"/>
    <x v="10"/>
    <x v="11"/>
  </r>
  <r>
    <x v="9"/>
    <x v="61"/>
    <x v="3"/>
    <x v="15"/>
    <x v="15"/>
    <x v="0"/>
    <x v="8"/>
    <x v="8"/>
  </r>
  <r>
    <x v="9"/>
    <x v="61"/>
    <x v="3"/>
    <x v="53"/>
    <x v="53"/>
    <x v="1"/>
    <x v="8"/>
    <x v="21"/>
  </r>
  <r>
    <x v="9"/>
    <x v="62"/>
    <x v="2"/>
    <x v="18"/>
    <x v="18"/>
    <x v="0"/>
    <x v="11"/>
    <x v="12"/>
  </r>
  <r>
    <x v="9"/>
    <x v="62"/>
    <x v="2"/>
    <x v="19"/>
    <x v="19"/>
    <x v="1"/>
    <x v="12"/>
    <x v="25"/>
  </r>
  <r>
    <x v="9"/>
    <x v="62"/>
    <x v="3"/>
    <x v="11"/>
    <x v="11"/>
    <x v="0"/>
    <x v="8"/>
    <x v="8"/>
  </r>
  <r>
    <x v="9"/>
    <x v="62"/>
    <x v="3"/>
    <x v="36"/>
    <x v="36"/>
    <x v="0"/>
    <x v="8"/>
    <x v="8"/>
  </r>
  <r>
    <x v="9"/>
    <x v="62"/>
    <x v="3"/>
    <x v="34"/>
    <x v="34"/>
    <x v="1"/>
    <x v="8"/>
    <x v="21"/>
  </r>
  <r>
    <x v="9"/>
    <x v="63"/>
    <x v="0"/>
    <x v="1"/>
    <x v="1"/>
    <x v="0"/>
    <x v="1"/>
    <x v="1"/>
  </r>
  <r>
    <x v="9"/>
    <x v="63"/>
    <x v="0"/>
    <x v="42"/>
    <x v="42"/>
    <x v="0"/>
    <x v="1"/>
    <x v="1"/>
  </r>
  <r>
    <x v="9"/>
    <x v="63"/>
    <x v="0"/>
    <x v="4"/>
    <x v="4"/>
    <x v="7"/>
    <x v="3"/>
    <x v="39"/>
  </r>
  <r>
    <x v="9"/>
    <x v="63"/>
    <x v="0"/>
    <x v="6"/>
    <x v="6"/>
    <x v="5"/>
    <x v="5"/>
    <x v="47"/>
  </r>
  <r>
    <x v="9"/>
    <x v="63"/>
    <x v="0"/>
    <x v="7"/>
    <x v="7"/>
    <x v="6"/>
    <x v="6"/>
    <x v="50"/>
  </r>
  <r>
    <x v="9"/>
    <x v="63"/>
    <x v="0"/>
    <x v="82"/>
    <x v="82"/>
    <x v="0"/>
    <x v="28"/>
    <x v="58"/>
  </r>
  <r>
    <x v="9"/>
    <x v="63"/>
    <x v="3"/>
    <x v="11"/>
    <x v="11"/>
    <x v="7"/>
    <x v="8"/>
    <x v="24"/>
  </r>
  <r>
    <x v="9"/>
    <x v="63"/>
    <x v="3"/>
    <x v="13"/>
    <x v="13"/>
    <x v="0"/>
    <x v="8"/>
    <x v="8"/>
  </r>
  <r>
    <x v="9"/>
    <x v="63"/>
    <x v="3"/>
    <x v="14"/>
    <x v="14"/>
    <x v="0"/>
    <x v="8"/>
    <x v="8"/>
  </r>
  <r>
    <x v="10"/>
    <x v="64"/>
    <x v="0"/>
    <x v="4"/>
    <x v="4"/>
    <x v="5"/>
    <x v="3"/>
    <x v="46"/>
  </r>
  <r>
    <x v="10"/>
    <x v="64"/>
    <x v="0"/>
    <x v="21"/>
    <x v="21"/>
    <x v="0"/>
    <x v="14"/>
    <x v="17"/>
  </r>
  <r>
    <x v="10"/>
    <x v="64"/>
    <x v="0"/>
    <x v="7"/>
    <x v="7"/>
    <x v="7"/>
    <x v="6"/>
    <x v="38"/>
  </r>
  <r>
    <x v="10"/>
    <x v="64"/>
    <x v="1"/>
    <x v="17"/>
    <x v="17"/>
    <x v="0"/>
    <x v="10"/>
    <x v="11"/>
  </r>
  <r>
    <x v="10"/>
    <x v="64"/>
    <x v="2"/>
    <x v="18"/>
    <x v="18"/>
    <x v="0"/>
    <x v="11"/>
    <x v="12"/>
  </r>
  <r>
    <x v="10"/>
    <x v="64"/>
    <x v="2"/>
    <x v="19"/>
    <x v="19"/>
    <x v="2"/>
    <x v="12"/>
    <x v="9"/>
  </r>
  <r>
    <x v="10"/>
    <x v="64"/>
    <x v="3"/>
    <x v="113"/>
    <x v="114"/>
    <x v="0"/>
    <x v="31"/>
    <x v="21"/>
  </r>
  <r>
    <x v="10"/>
    <x v="64"/>
    <x v="3"/>
    <x v="11"/>
    <x v="11"/>
    <x v="2"/>
    <x v="8"/>
    <x v="29"/>
  </r>
  <r>
    <x v="10"/>
    <x v="64"/>
    <x v="3"/>
    <x v="27"/>
    <x v="27"/>
    <x v="1"/>
    <x v="8"/>
    <x v="21"/>
  </r>
  <r>
    <x v="10"/>
    <x v="64"/>
    <x v="3"/>
    <x v="28"/>
    <x v="28"/>
    <x v="0"/>
    <x v="8"/>
    <x v="8"/>
  </r>
  <r>
    <x v="10"/>
    <x v="64"/>
    <x v="3"/>
    <x v="29"/>
    <x v="29"/>
    <x v="0"/>
    <x v="8"/>
    <x v="8"/>
  </r>
  <r>
    <x v="10"/>
    <x v="64"/>
    <x v="3"/>
    <x v="14"/>
    <x v="14"/>
    <x v="1"/>
    <x v="8"/>
    <x v="21"/>
  </r>
  <r>
    <x v="10"/>
    <x v="64"/>
    <x v="3"/>
    <x v="30"/>
    <x v="30"/>
    <x v="0"/>
    <x v="8"/>
    <x v="8"/>
  </r>
  <r>
    <x v="10"/>
    <x v="65"/>
    <x v="0"/>
    <x v="80"/>
    <x v="80"/>
    <x v="0"/>
    <x v="26"/>
    <x v="56"/>
  </r>
  <r>
    <x v="10"/>
    <x v="65"/>
    <x v="0"/>
    <x v="4"/>
    <x v="4"/>
    <x v="1"/>
    <x v="3"/>
    <x v="3"/>
  </r>
  <r>
    <x v="10"/>
    <x v="65"/>
    <x v="3"/>
    <x v="11"/>
    <x v="11"/>
    <x v="1"/>
    <x v="8"/>
    <x v="21"/>
  </r>
  <r>
    <x v="10"/>
    <x v="65"/>
    <x v="3"/>
    <x v="60"/>
    <x v="60"/>
    <x v="0"/>
    <x v="8"/>
    <x v="8"/>
  </r>
  <r>
    <x v="10"/>
    <x v="65"/>
    <x v="3"/>
    <x v="33"/>
    <x v="33"/>
    <x v="0"/>
    <x v="8"/>
    <x v="8"/>
  </r>
  <r>
    <x v="10"/>
    <x v="65"/>
    <x v="3"/>
    <x v="77"/>
    <x v="77"/>
    <x v="0"/>
    <x v="8"/>
    <x v="8"/>
  </r>
  <r>
    <x v="10"/>
    <x v="66"/>
    <x v="0"/>
    <x v="4"/>
    <x v="4"/>
    <x v="0"/>
    <x v="3"/>
    <x v="22"/>
  </r>
  <r>
    <x v="10"/>
    <x v="66"/>
    <x v="0"/>
    <x v="6"/>
    <x v="6"/>
    <x v="2"/>
    <x v="5"/>
    <x v="52"/>
  </r>
  <r>
    <x v="10"/>
    <x v="66"/>
    <x v="0"/>
    <x v="7"/>
    <x v="7"/>
    <x v="2"/>
    <x v="6"/>
    <x v="6"/>
  </r>
  <r>
    <x v="10"/>
    <x v="66"/>
    <x v="0"/>
    <x v="39"/>
    <x v="39"/>
    <x v="0"/>
    <x v="17"/>
    <x v="24"/>
  </r>
  <r>
    <x v="10"/>
    <x v="66"/>
    <x v="3"/>
    <x v="12"/>
    <x v="12"/>
    <x v="0"/>
    <x v="8"/>
    <x v="8"/>
  </r>
  <r>
    <x v="10"/>
    <x v="66"/>
    <x v="3"/>
    <x v="28"/>
    <x v="28"/>
    <x v="1"/>
    <x v="8"/>
    <x v="21"/>
  </r>
  <r>
    <x v="10"/>
    <x v="66"/>
    <x v="3"/>
    <x v="14"/>
    <x v="14"/>
    <x v="0"/>
    <x v="8"/>
    <x v="8"/>
  </r>
  <r>
    <x v="10"/>
    <x v="66"/>
    <x v="3"/>
    <x v="31"/>
    <x v="31"/>
    <x v="0"/>
    <x v="10"/>
    <x v="11"/>
  </r>
  <r>
    <x v="10"/>
    <x v="66"/>
    <x v="3"/>
    <x v="15"/>
    <x v="15"/>
    <x v="0"/>
    <x v="8"/>
    <x v="8"/>
  </r>
  <r>
    <x v="10"/>
    <x v="66"/>
    <x v="3"/>
    <x v="34"/>
    <x v="34"/>
    <x v="2"/>
    <x v="8"/>
    <x v="29"/>
  </r>
  <r>
    <x v="10"/>
    <x v="66"/>
    <x v="3"/>
    <x v="53"/>
    <x v="53"/>
    <x v="0"/>
    <x v="8"/>
    <x v="8"/>
  </r>
  <r>
    <x v="10"/>
    <x v="66"/>
    <x v="3"/>
    <x v="77"/>
    <x v="77"/>
    <x v="0"/>
    <x v="8"/>
    <x v="8"/>
  </r>
  <r>
    <x v="10"/>
    <x v="67"/>
    <x v="2"/>
    <x v="19"/>
    <x v="19"/>
    <x v="1"/>
    <x v="12"/>
    <x v="25"/>
  </r>
  <r>
    <x v="10"/>
    <x v="68"/>
    <x v="0"/>
    <x v="81"/>
    <x v="81"/>
    <x v="0"/>
    <x v="27"/>
    <x v="57"/>
  </r>
  <r>
    <x v="10"/>
    <x v="68"/>
    <x v="0"/>
    <x v="4"/>
    <x v="4"/>
    <x v="1"/>
    <x v="3"/>
    <x v="3"/>
  </r>
  <r>
    <x v="10"/>
    <x v="68"/>
    <x v="0"/>
    <x v="6"/>
    <x v="6"/>
    <x v="7"/>
    <x v="5"/>
    <x v="37"/>
  </r>
  <r>
    <x v="10"/>
    <x v="68"/>
    <x v="0"/>
    <x v="7"/>
    <x v="7"/>
    <x v="5"/>
    <x v="6"/>
    <x v="18"/>
  </r>
  <r>
    <x v="10"/>
    <x v="68"/>
    <x v="1"/>
    <x v="8"/>
    <x v="8"/>
    <x v="1"/>
    <x v="7"/>
    <x v="70"/>
  </r>
  <r>
    <x v="10"/>
    <x v="68"/>
    <x v="2"/>
    <x v="24"/>
    <x v="24"/>
    <x v="14"/>
    <x v="16"/>
    <x v="77"/>
  </r>
  <r>
    <x v="10"/>
    <x v="68"/>
    <x v="2"/>
    <x v="114"/>
    <x v="115"/>
    <x v="0"/>
    <x v="13"/>
    <x v="14"/>
  </r>
  <r>
    <x v="10"/>
    <x v="68"/>
    <x v="2"/>
    <x v="19"/>
    <x v="19"/>
    <x v="1"/>
    <x v="12"/>
    <x v="25"/>
  </r>
  <r>
    <x v="10"/>
    <x v="68"/>
    <x v="2"/>
    <x v="55"/>
    <x v="55"/>
    <x v="0"/>
    <x v="9"/>
    <x v="41"/>
  </r>
  <r>
    <x v="10"/>
    <x v="68"/>
    <x v="4"/>
    <x v="68"/>
    <x v="68"/>
    <x v="0"/>
    <x v="15"/>
    <x v="19"/>
  </r>
  <r>
    <x v="10"/>
    <x v="68"/>
    <x v="3"/>
    <x v="12"/>
    <x v="12"/>
    <x v="1"/>
    <x v="8"/>
    <x v="21"/>
  </r>
  <r>
    <x v="10"/>
    <x v="68"/>
    <x v="3"/>
    <x v="62"/>
    <x v="62"/>
    <x v="0"/>
    <x v="8"/>
    <x v="8"/>
  </r>
  <r>
    <x v="10"/>
    <x v="69"/>
    <x v="0"/>
    <x v="4"/>
    <x v="4"/>
    <x v="3"/>
    <x v="3"/>
    <x v="30"/>
  </r>
  <r>
    <x v="10"/>
    <x v="69"/>
    <x v="0"/>
    <x v="6"/>
    <x v="6"/>
    <x v="1"/>
    <x v="5"/>
    <x v="5"/>
  </r>
  <r>
    <x v="10"/>
    <x v="69"/>
    <x v="0"/>
    <x v="7"/>
    <x v="7"/>
    <x v="2"/>
    <x v="6"/>
    <x v="6"/>
  </r>
  <r>
    <x v="10"/>
    <x v="69"/>
    <x v="0"/>
    <x v="39"/>
    <x v="39"/>
    <x v="0"/>
    <x v="17"/>
    <x v="24"/>
  </r>
  <r>
    <x v="10"/>
    <x v="69"/>
    <x v="3"/>
    <x v="60"/>
    <x v="60"/>
    <x v="0"/>
    <x v="8"/>
    <x v="8"/>
  </r>
  <r>
    <x v="10"/>
    <x v="69"/>
    <x v="3"/>
    <x v="61"/>
    <x v="61"/>
    <x v="0"/>
    <x v="8"/>
    <x v="8"/>
  </r>
  <r>
    <x v="10"/>
    <x v="69"/>
    <x v="3"/>
    <x v="115"/>
    <x v="116"/>
    <x v="0"/>
    <x v="8"/>
    <x v="8"/>
  </r>
  <r>
    <x v="10"/>
    <x v="69"/>
    <x v="3"/>
    <x v="26"/>
    <x v="26"/>
    <x v="0"/>
    <x v="8"/>
    <x v="8"/>
  </r>
  <r>
    <x v="10"/>
    <x v="69"/>
    <x v="3"/>
    <x v="27"/>
    <x v="27"/>
    <x v="1"/>
    <x v="8"/>
    <x v="21"/>
  </r>
  <r>
    <x v="10"/>
    <x v="69"/>
    <x v="3"/>
    <x v="28"/>
    <x v="28"/>
    <x v="0"/>
    <x v="8"/>
    <x v="8"/>
  </r>
  <r>
    <x v="10"/>
    <x v="69"/>
    <x v="3"/>
    <x v="14"/>
    <x v="14"/>
    <x v="0"/>
    <x v="8"/>
    <x v="8"/>
  </r>
  <r>
    <x v="10"/>
    <x v="69"/>
    <x v="3"/>
    <x v="30"/>
    <x v="30"/>
    <x v="1"/>
    <x v="8"/>
    <x v="21"/>
  </r>
  <r>
    <x v="10"/>
    <x v="69"/>
    <x v="3"/>
    <x v="31"/>
    <x v="31"/>
    <x v="1"/>
    <x v="10"/>
    <x v="28"/>
  </r>
  <r>
    <x v="10"/>
    <x v="69"/>
    <x v="3"/>
    <x v="34"/>
    <x v="34"/>
    <x v="5"/>
    <x v="8"/>
    <x v="1"/>
  </r>
  <r>
    <x v="10"/>
    <x v="70"/>
    <x v="0"/>
    <x v="0"/>
    <x v="0"/>
    <x v="0"/>
    <x v="0"/>
    <x v="0"/>
  </r>
  <r>
    <x v="10"/>
    <x v="71"/>
    <x v="0"/>
    <x v="3"/>
    <x v="3"/>
    <x v="0"/>
    <x v="1"/>
    <x v="1"/>
  </r>
  <r>
    <x v="10"/>
    <x v="71"/>
    <x v="0"/>
    <x v="4"/>
    <x v="4"/>
    <x v="2"/>
    <x v="3"/>
    <x v="15"/>
  </r>
  <r>
    <x v="10"/>
    <x v="71"/>
    <x v="0"/>
    <x v="6"/>
    <x v="6"/>
    <x v="0"/>
    <x v="5"/>
    <x v="16"/>
  </r>
  <r>
    <x v="10"/>
    <x v="71"/>
    <x v="0"/>
    <x v="7"/>
    <x v="7"/>
    <x v="6"/>
    <x v="6"/>
    <x v="50"/>
  </r>
  <r>
    <x v="10"/>
    <x v="71"/>
    <x v="0"/>
    <x v="39"/>
    <x v="39"/>
    <x v="1"/>
    <x v="17"/>
    <x v="40"/>
  </r>
  <r>
    <x v="10"/>
    <x v="71"/>
    <x v="5"/>
    <x v="44"/>
    <x v="44"/>
    <x v="0"/>
    <x v="0"/>
    <x v="0"/>
  </r>
  <r>
    <x v="10"/>
    <x v="71"/>
    <x v="4"/>
    <x v="59"/>
    <x v="59"/>
    <x v="0"/>
    <x v="18"/>
    <x v="27"/>
  </r>
  <r>
    <x v="10"/>
    <x v="71"/>
    <x v="3"/>
    <x v="11"/>
    <x v="11"/>
    <x v="1"/>
    <x v="8"/>
    <x v="21"/>
  </r>
  <r>
    <x v="10"/>
    <x v="71"/>
    <x v="3"/>
    <x v="89"/>
    <x v="89"/>
    <x v="0"/>
    <x v="31"/>
    <x v="21"/>
  </r>
  <r>
    <x v="10"/>
    <x v="71"/>
    <x v="3"/>
    <x v="28"/>
    <x v="28"/>
    <x v="1"/>
    <x v="8"/>
    <x v="21"/>
  </r>
  <r>
    <x v="10"/>
    <x v="71"/>
    <x v="3"/>
    <x v="13"/>
    <x v="13"/>
    <x v="0"/>
    <x v="8"/>
    <x v="8"/>
  </r>
  <r>
    <x v="10"/>
    <x v="71"/>
    <x v="3"/>
    <x v="14"/>
    <x v="14"/>
    <x v="0"/>
    <x v="8"/>
    <x v="8"/>
  </r>
  <r>
    <x v="10"/>
    <x v="71"/>
    <x v="3"/>
    <x v="53"/>
    <x v="53"/>
    <x v="0"/>
    <x v="8"/>
    <x v="8"/>
  </r>
  <r>
    <x v="10"/>
    <x v="72"/>
    <x v="0"/>
    <x v="1"/>
    <x v="1"/>
    <x v="0"/>
    <x v="1"/>
    <x v="1"/>
  </r>
  <r>
    <x v="11"/>
    <x v="73"/>
    <x v="2"/>
    <x v="18"/>
    <x v="18"/>
    <x v="5"/>
    <x v="11"/>
    <x v="42"/>
  </r>
  <r>
    <x v="11"/>
    <x v="73"/>
    <x v="2"/>
    <x v="19"/>
    <x v="19"/>
    <x v="5"/>
    <x v="12"/>
    <x v="48"/>
  </r>
  <r>
    <x v="11"/>
    <x v="74"/>
    <x v="0"/>
    <x v="0"/>
    <x v="0"/>
    <x v="0"/>
    <x v="0"/>
    <x v="0"/>
  </r>
  <r>
    <x v="11"/>
    <x v="74"/>
    <x v="0"/>
    <x v="1"/>
    <x v="1"/>
    <x v="0"/>
    <x v="1"/>
    <x v="1"/>
  </r>
  <r>
    <x v="11"/>
    <x v="74"/>
    <x v="0"/>
    <x v="42"/>
    <x v="42"/>
    <x v="0"/>
    <x v="1"/>
    <x v="1"/>
  </r>
  <r>
    <x v="11"/>
    <x v="74"/>
    <x v="0"/>
    <x v="116"/>
    <x v="117"/>
    <x v="0"/>
    <x v="34"/>
    <x v="78"/>
  </r>
  <r>
    <x v="11"/>
    <x v="74"/>
    <x v="0"/>
    <x v="4"/>
    <x v="4"/>
    <x v="2"/>
    <x v="3"/>
    <x v="15"/>
  </r>
  <r>
    <x v="11"/>
    <x v="74"/>
    <x v="0"/>
    <x v="6"/>
    <x v="6"/>
    <x v="2"/>
    <x v="5"/>
    <x v="52"/>
  </r>
  <r>
    <x v="11"/>
    <x v="74"/>
    <x v="0"/>
    <x v="7"/>
    <x v="7"/>
    <x v="6"/>
    <x v="6"/>
    <x v="50"/>
  </r>
  <r>
    <x v="11"/>
    <x v="74"/>
    <x v="1"/>
    <x v="8"/>
    <x v="8"/>
    <x v="0"/>
    <x v="7"/>
    <x v="7"/>
  </r>
  <r>
    <x v="11"/>
    <x v="74"/>
    <x v="1"/>
    <x v="100"/>
    <x v="101"/>
    <x v="0"/>
    <x v="8"/>
    <x v="8"/>
  </r>
  <r>
    <x v="11"/>
    <x v="74"/>
    <x v="2"/>
    <x v="10"/>
    <x v="10"/>
    <x v="6"/>
    <x v="9"/>
    <x v="54"/>
  </r>
  <r>
    <x v="11"/>
    <x v="74"/>
    <x v="3"/>
    <x v="11"/>
    <x v="11"/>
    <x v="9"/>
    <x v="8"/>
    <x v="40"/>
  </r>
  <r>
    <x v="11"/>
    <x v="74"/>
    <x v="3"/>
    <x v="12"/>
    <x v="12"/>
    <x v="5"/>
    <x v="8"/>
    <x v="1"/>
  </r>
  <r>
    <x v="11"/>
    <x v="74"/>
    <x v="3"/>
    <x v="61"/>
    <x v="61"/>
    <x v="0"/>
    <x v="8"/>
    <x v="8"/>
  </r>
  <r>
    <x v="11"/>
    <x v="74"/>
    <x v="3"/>
    <x v="27"/>
    <x v="27"/>
    <x v="0"/>
    <x v="8"/>
    <x v="8"/>
  </r>
  <r>
    <x v="11"/>
    <x v="74"/>
    <x v="3"/>
    <x v="13"/>
    <x v="13"/>
    <x v="1"/>
    <x v="8"/>
    <x v="21"/>
  </r>
  <r>
    <x v="11"/>
    <x v="74"/>
    <x v="3"/>
    <x v="14"/>
    <x v="14"/>
    <x v="0"/>
    <x v="8"/>
    <x v="8"/>
  </r>
  <r>
    <x v="11"/>
    <x v="74"/>
    <x v="3"/>
    <x v="30"/>
    <x v="30"/>
    <x v="1"/>
    <x v="8"/>
    <x v="21"/>
  </r>
  <r>
    <x v="11"/>
    <x v="74"/>
    <x v="3"/>
    <x v="34"/>
    <x v="34"/>
    <x v="1"/>
    <x v="8"/>
    <x v="21"/>
  </r>
  <r>
    <x v="11"/>
    <x v="74"/>
    <x v="3"/>
    <x v="53"/>
    <x v="53"/>
    <x v="0"/>
    <x v="8"/>
    <x v="8"/>
  </r>
  <r>
    <x v="11"/>
    <x v="75"/>
    <x v="0"/>
    <x v="4"/>
    <x v="4"/>
    <x v="0"/>
    <x v="3"/>
    <x v="22"/>
  </r>
  <r>
    <x v="11"/>
    <x v="75"/>
    <x v="0"/>
    <x v="6"/>
    <x v="6"/>
    <x v="1"/>
    <x v="5"/>
    <x v="5"/>
  </r>
  <r>
    <x v="11"/>
    <x v="75"/>
    <x v="0"/>
    <x v="7"/>
    <x v="7"/>
    <x v="5"/>
    <x v="6"/>
    <x v="18"/>
  </r>
  <r>
    <x v="11"/>
    <x v="75"/>
    <x v="1"/>
    <x v="17"/>
    <x v="17"/>
    <x v="0"/>
    <x v="10"/>
    <x v="11"/>
  </r>
  <r>
    <x v="11"/>
    <x v="75"/>
    <x v="2"/>
    <x v="18"/>
    <x v="18"/>
    <x v="1"/>
    <x v="11"/>
    <x v="61"/>
  </r>
  <r>
    <x v="11"/>
    <x v="75"/>
    <x v="2"/>
    <x v="19"/>
    <x v="19"/>
    <x v="7"/>
    <x v="12"/>
    <x v="60"/>
  </r>
  <r>
    <x v="11"/>
    <x v="75"/>
    <x v="3"/>
    <x v="11"/>
    <x v="11"/>
    <x v="2"/>
    <x v="8"/>
    <x v="29"/>
  </r>
  <r>
    <x v="11"/>
    <x v="75"/>
    <x v="3"/>
    <x v="14"/>
    <x v="14"/>
    <x v="0"/>
    <x v="8"/>
    <x v="8"/>
  </r>
  <r>
    <x v="11"/>
    <x v="75"/>
    <x v="3"/>
    <x v="30"/>
    <x v="30"/>
    <x v="0"/>
    <x v="8"/>
    <x v="8"/>
  </r>
  <r>
    <x v="11"/>
    <x v="75"/>
    <x v="3"/>
    <x v="31"/>
    <x v="31"/>
    <x v="1"/>
    <x v="10"/>
    <x v="28"/>
  </r>
  <r>
    <x v="11"/>
    <x v="75"/>
    <x v="3"/>
    <x v="53"/>
    <x v="53"/>
    <x v="0"/>
    <x v="8"/>
    <x v="8"/>
  </r>
  <r>
    <x v="11"/>
    <x v="76"/>
    <x v="4"/>
    <x v="83"/>
    <x v="83"/>
    <x v="0"/>
    <x v="0"/>
    <x v="0"/>
  </r>
  <r>
    <x v="11"/>
    <x v="77"/>
    <x v="0"/>
    <x v="80"/>
    <x v="80"/>
    <x v="0"/>
    <x v="26"/>
    <x v="56"/>
  </r>
  <r>
    <x v="11"/>
    <x v="77"/>
    <x v="0"/>
    <x v="4"/>
    <x v="4"/>
    <x v="0"/>
    <x v="3"/>
    <x v="22"/>
  </r>
  <r>
    <x v="11"/>
    <x v="77"/>
    <x v="0"/>
    <x v="6"/>
    <x v="6"/>
    <x v="7"/>
    <x v="5"/>
    <x v="37"/>
  </r>
  <r>
    <x v="11"/>
    <x v="77"/>
    <x v="0"/>
    <x v="7"/>
    <x v="7"/>
    <x v="2"/>
    <x v="6"/>
    <x v="6"/>
  </r>
  <r>
    <x v="11"/>
    <x v="77"/>
    <x v="3"/>
    <x v="12"/>
    <x v="12"/>
    <x v="0"/>
    <x v="8"/>
    <x v="8"/>
  </r>
  <r>
    <x v="11"/>
    <x v="77"/>
    <x v="3"/>
    <x v="31"/>
    <x v="31"/>
    <x v="0"/>
    <x v="10"/>
    <x v="11"/>
  </r>
  <r>
    <x v="11"/>
    <x v="77"/>
    <x v="3"/>
    <x v="62"/>
    <x v="62"/>
    <x v="0"/>
    <x v="8"/>
    <x v="8"/>
  </r>
  <r>
    <x v="11"/>
    <x v="77"/>
    <x v="3"/>
    <x v="34"/>
    <x v="34"/>
    <x v="1"/>
    <x v="8"/>
    <x v="21"/>
  </r>
  <r>
    <x v="11"/>
    <x v="78"/>
    <x v="2"/>
    <x v="24"/>
    <x v="24"/>
    <x v="15"/>
    <x v="16"/>
    <x v="79"/>
  </r>
  <r>
    <x v="11"/>
    <x v="78"/>
    <x v="2"/>
    <x v="18"/>
    <x v="18"/>
    <x v="0"/>
    <x v="11"/>
    <x v="12"/>
  </r>
  <r>
    <x v="11"/>
    <x v="78"/>
    <x v="2"/>
    <x v="40"/>
    <x v="40"/>
    <x v="2"/>
    <x v="16"/>
    <x v="43"/>
  </r>
  <r>
    <x v="11"/>
    <x v="78"/>
    <x v="2"/>
    <x v="19"/>
    <x v="19"/>
    <x v="7"/>
    <x v="12"/>
    <x v="60"/>
  </r>
  <r>
    <x v="11"/>
    <x v="78"/>
    <x v="2"/>
    <x v="55"/>
    <x v="55"/>
    <x v="1"/>
    <x v="9"/>
    <x v="67"/>
  </r>
  <r>
    <x v="11"/>
    <x v="78"/>
    <x v="3"/>
    <x v="13"/>
    <x v="13"/>
    <x v="0"/>
    <x v="8"/>
    <x v="8"/>
  </r>
  <r>
    <x v="11"/>
    <x v="79"/>
    <x v="0"/>
    <x v="4"/>
    <x v="4"/>
    <x v="5"/>
    <x v="3"/>
    <x v="46"/>
  </r>
  <r>
    <x v="11"/>
    <x v="79"/>
    <x v="0"/>
    <x v="5"/>
    <x v="5"/>
    <x v="0"/>
    <x v="4"/>
    <x v="4"/>
  </r>
  <r>
    <x v="11"/>
    <x v="79"/>
    <x v="0"/>
    <x v="6"/>
    <x v="6"/>
    <x v="1"/>
    <x v="5"/>
    <x v="5"/>
  </r>
  <r>
    <x v="11"/>
    <x v="79"/>
    <x v="0"/>
    <x v="7"/>
    <x v="7"/>
    <x v="1"/>
    <x v="6"/>
    <x v="23"/>
  </r>
  <r>
    <x v="11"/>
    <x v="79"/>
    <x v="0"/>
    <x v="117"/>
    <x v="118"/>
    <x v="0"/>
    <x v="8"/>
    <x v="8"/>
  </r>
  <r>
    <x v="11"/>
    <x v="79"/>
    <x v="1"/>
    <x v="57"/>
    <x v="57"/>
    <x v="0"/>
    <x v="7"/>
    <x v="7"/>
  </r>
  <r>
    <x v="11"/>
    <x v="79"/>
    <x v="3"/>
    <x v="103"/>
    <x v="104"/>
    <x v="0"/>
    <x v="8"/>
    <x v="8"/>
  </r>
  <r>
    <x v="11"/>
    <x v="79"/>
    <x v="3"/>
    <x v="27"/>
    <x v="27"/>
    <x v="1"/>
    <x v="8"/>
    <x v="21"/>
  </r>
  <r>
    <x v="11"/>
    <x v="79"/>
    <x v="3"/>
    <x v="28"/>
    <x v="28"/>
    <x v="0"/>
    <x v="8"/>
    <x v="8"/>
  </r>
  <r>
    <x v="11"/>
    <x v="79"/>
    <x v="3"/>
    <x v="13"/>
    <x v="13"/>
    <x v="0"/>
    <x v="8"/>
    <x v="8"/>
  </r>
  <r>
    <x v="11"/>
    <x v="79"/>
    <x v="3"/>
    <x v="30"/>
    <x v="30"/>
    <x v="0"/>
    <x v="8"/>
    <x v="8"/>
  </r>
  <r>
    <x v="11"/>
    <x v="79"/>
    <x v="3"/>
    <x v="31"/>
    <x v="31"/>
    <x v="0"/>
    <x v="10"/>
    <x v="11"/>
  </r>
  <r>
    <x v="11"/>
    <x v="79"/>
    <x v="3"/>
    <x v="34"/>
    <x v="34"/>
    <x v="0"/>
    <x v="8"/>
    <x v="8"/>
  </r>
  <r>
    <x v="11"/>
    <x v="80"/>
    <x v="0"/>
    <x v="1"/>
    <x v="1"/>
    <x v="0"/>
    <x v="1"/>
    <x v="1"/>
  </r>
  <r>
    <x v="11"/>
    <x v="80"/>
    <x v="0"/>
    <x v="4"/>
    <x v="4"/>
    <x v="6"/>
    <x v="3"/>
    <x v="49"/>
  </r>
  <r>
    <x v="11"/>
    <x v="80"/>
    <x v="0"/>
    <x v="6"/>
    <x v="6"/>
    <x v="0"/>
    <x v="5"/>
    <x v="16"/>
  </r>
  <r>
    <x v="11"/>
    <x v="80"/>
    <x v="0"/>
    <x v="21"/>
    <x v="21"/>
    <x v="0"/>
    <x v="14"/>
    <x v="17"/>
  </r>
  <r>
    <x v="11"/>
    <x v="80"/>
    <x v="0"/>
    <x v="7"/>
    <x v="7"/>
    <x v="2"/>
    <x v="6"/>
    <x v="6"/>
  </r>
  <r>
    <x v="11"/>
    <x v="80"/>
    <x v="0"/>
    <x v="118"/>
    <x v="119"/>
    <x v="0"/>
    <x v="23"/>
    <x v="36"/>
  </r>
  <r>
    <x v="11"/>
    <x v="80"/>
    <x v="1"/>
    <x v="58"/>
    <x v="58"/>
    <x v="0"/>
    <x v="8"/>
    <x v="8"/>
  </r>
  <r>
    <x v="11"/>
    <x v="80"/>
    <x v="2"/>
    <x v="24"/>
    <x v="24"/>
    <x v="3"/>
    <x v="16"/>
    <x v="74"/>
  </r>
  <r>
    <x v="11"/>
    <x v="80"/>
    <x v="4"/>
    <x v="83"/>
    <x v="83"/>
    <x v="0"/>
    <x v="0"/>
    <x v="0"/>
  </r>
  <r>
    <x v="11"/>
    <x v="80"/>
    <x v="3"/>
    <x v="60"/>
    <x v="60"/>
    <x v="0"/>
    <x v="8"/>
    <x v="8"/>
  </r>
  <r>
    <x v="11"/>
    <x v="80"/>
    <x v="3"/>
    <x v="33"/>
    <x v="33"/>
    <x v="0"/>
    <x v="8"/>
    <x v="8"/>
  </r>
  <r>
    <x v="11"/>
    <x v="80"/>
    <x v="3"/>
    <x v="15"/>
    <x v="15"/>
    <x v="0"/>
    <x v="8"/>
    <x v="8"/>
  </r>
  <r>
    <x v="11"/>
    <x v="81"/>
    <x v="0"/>
    <x v="81"/>
    <x v="81"/>
    <x v="0"/>
    <x v="27"/>
    <x v="57"/>
  </r>
  <r>
    <x v="11"/>
    <x v="81"/>
    <x v="0"/>
    <x v="4"/>
    <x v="4"/>
    <x v="1"/>
    <x v="3"/>
    <x v="3"/>
  </r>
  <r>
    <x v="11"/>
    <x v="81"/>
    <x v="0"/>
    <x v="6"/>
    <x v="6"/>
    <x v="2"/>
    <x v="5"/>
    <x v="52"/>
  </r>
  <r>
    <x v="11"/>
    <x v="81"/>
    <x v="0"/>
    <x v="7"/>
    <x v="7"/>
    <x v="7"/>
    <x v="6"/>
    <x v="38"/>
  </r>
  <r>
    <x v="11"/>
    <x v="81"/>
    <x v="2"/>
    <x v="19"/>
    <x v="19"/>
    <x v="1"/>
    <x v="12"/>
    <x v="25"/>
  </r>
  <r>
    <x v="11"/>
    <x v="81"/>
    <x v="4"/>
    <x v="83"/>
    <x v="83"/>
    <x v="0"/>
    <x v="0"/>
    <x v="0"/>
  </r>
  <r>
    <x v="11"/>
    <x v="81"/>
    <x v="3"/>
    <x v="11"/>
    <x v="11"/>
    <x v="2"/>
    <x v="8"/>
    <x v="29"/>
  </r>
  <r>
    <x v="11"/>
    <x v="81"/>
    <x v="3"/>
    <x v="12"/>
    <x v="12"/>
    <x v="1"/>
    <x v="8"/>
    <x v="21"/>
  </r>
  <r>
    <x v="11"/>
    <x v="81"/>
    <x v="3"/>
    <x v="28"/>
    <x v="28"/>
    <x v="5"/>
    <x v="8"/>
    <x v="1"/>
  </r>
  <r>
    <x v="11"/>
    <x v="81"/>
    <x v="3"/>
    <x v="13"/>
    <x v="13"/>
    <x v="0"/>
    <x v="8"/>
    <x v="8"/>
  </r>
  <r>
    <x v="11"/>
    <x v="81"/>
    <x v="3"/>
    <x v="14"/>
    <x v="14"/>
    <x v="1"/>
    <x v="8"/>
    <x v="21"/>
  </r>
  <r>
    <x v="11"/>
    <x v="81"/>
    <x v="3"/>
    <x v="30"/>
    <x v="30"/>
    <x v="0"/>
    <x v="8"/>
    <x v="8"/>
  </r>
  <r>
    <x v="11"/>
    <x v="81"/>
    <x v="3"/>
    <x v="34"/>
    <x v="34"/>
    <x v="1"/>
    <x v="8"/>
    <x v="21"/>
  </r>
  <r>
    <x v="11"/>
    <x v="81"/>
    <x v="3"/>
    <x v="53"/>
    <x v="53"/>
    <x v="1"/>
    <x v="8"/>
    <x v="21"/>
  </r>
  <r>
    <x v="12"/>
    <x v="82"/>
    <x v="0"/>
    <x v="39"/>
    <x v="39"/>
    <x v="0"/>
    <x v="17"/>
    <x v="24"/>
  </r>
  <r>
    <x v="12"/>
    <x v="82"/>
    <x v="2"/>
    <x v="24"/>
    <x v="24"/>
    <x v="8"/>
    <x v="16"/>
    <x v="63"/>
  </r>
  <r>
    <x v="12"/>
    <x v="82"/>
    <x v="2"/>
    <x v="18"/>
    <x v="18"/>
    <x v="0"/>
    <x v="11"/>
    <x v="12"/>
  </r>
  <r>
    <x v="12"/>
    <x v="82"/>
    <x v="2"/>
    <x v="40"/>
    <x v="40"/>
    <x v="1"/>
    <x v="16"/>
    <x v="59"/>
  </r>
  <r>
    <x v="12"/>
    <x v="82"/>
    <x v="2"/>
    <x v="10"/>
    <x v="10"/>
    <x v="3"/>
    <x v="9"/>
    <x v="9"/>
  </r>
  <r>
    <x v="12"/>
    <x v="82"/>
    <x v="2"/>
    <x v="19"/>
    <x v="19"/>
    <x v="5"/>
    <x v="12"/>
    <x v="48"/>
  </r>
  <r>
    <x v="12"/>
    <x v="83"/>
    <x v="0"/>
    <x v="6"/>
    <x v="6"/>
    <x v="1"/>
    <x v="5"/>
    <x v="5"/>
  </r>
  <r>
    <x v="12"/>
    <x v="83"/>
    <x v="0"/>
    <x v="7"/>
    <x v="7"/>
    <x v="5"/>
    <x v="6"/>
    <x v="18"/>
  </r>
  <r>
    <x v="12"/>
    <x v="84"/>
    <x v="0"/>
    <x v="4"/>
    <x v="4"/>
    <x v="0"/>
    <x v="3"/>
    <x v="22"/>
  </r>
  <r>
    <x v="12"/>
    <x v="84"/>
    <x v="0"/>
    <x v="6"/>
    <x v="6"/>
    <x v="0"/>
    <x v="5"/>
    <x v="16"/>
  </r>
  <r>
    <x v="12"/>
    <x v="84"/>
    <x v="0"/>
    <x v="21"/>
    <x v="21"/>
    <x v="0"/>
    <x v="14"/>
    <x v="17"/>
  </r>
  <r>
    <x v="12"/>
    <x v="84"/>
    <x v="0"/>
    <x v="101"/>
    <x v="102"/>
    <x v="0"/>
    <x v="5"/>
    <x v="16"/>
  </r>
  <r>
    <x v="12"/>
    <x v="84"/>
    <x v="0"/>
    <x v="39"/>
    <x v="39"/>
    <x v="1"/>
    <x v="17"/>
    <x v="40"/>
  </r>
  <r>
    <x v="12"/>
    <x v="84"/>
    <x v="4"/>
    <x v="83"/>
    <x v="83"/>
    <x v="0"/>
    <x v="0"/>
    <x v="0"/>
  </r>
  <r>
    <x v="12"/>
    <x v="84"/>
    <x v="3"/>
    <x v="11"/>
    <x v="11"/>
    <x v="2"/>
    <x v="8"/>
    <x v="29"/>
  </r>
  <r>
    <x v="12"/>
    <x v="84"/>
    <x v="3"/>
    <x v="89"/>
    <x v="89"/>
    <x v="0"/>
    <x v="31"/>
    <x v="21"/>
  </r>
  <r>
    <x v="12"/>
    <x v="84"/>
    <x v="3"/>
    <x v="34"/>
    <x v="34"/>
    <x v="0"/>
    <x v="8"/>
    <x v="8"/>
  </r>
  <r>
    <x v="12"/>
    <x v="85"/>
    <x v="1"/>
    <x v="65"/>
    <x v="65"/>
    <x v="0"/>
    <x v="7"/>
    <x v="7"/>
  </r>
  <r>
    <x v="12"/>
    <x v="85"/>
    <x v="1"/>
    <x v="94"/>
    <x v="95"/>
    <x v="0"/>
    <x v="8"/>
    <x v="8"/>
  </r>
  <r>
    <x v="12"/>
    <x v="85"/>
    <x v="1"/>
    <x v="71"/>
    <x v="71"/>
    <x v="0"/>
    <x v="8"/>
    <x v="8"/>
  </r>
  <r>
    <x v="12"/>
    <x v="85"/>
    <x v="4"/>
    <x v="67"/>
    <x v="67"/>
    <x v="0"/>
    <x v="17"/>
    <x v="24"/>
  </r>
  <r>
    <x v="12"/>
    <x v="85"/>
    <x v="3"/>
    <x v="14"/>
    <x v="14"/>
    <x v="0"/>
    <x v="8"/>
    <x v="8"/>
  </r>
  <r>
    <x v="12"/>
    <x v="86"/>
    <x v="1"/>
    <x v="63"/>
    <x v="63"/>
    <x v="0"/>
    <x v="8"/>
    <x v="8"/>
  </r>
  <r>
    <x v="12"/>
    <x v="86"/>
    <x v="1"/>
    <x v="96"/>
    <x v="97"/>
    <x v="0"/>
    <x v="8"/>
    <x v="8"/>
  </r>
  <r>
    <x v="12"/>
    <x v="86"/>
    <x v="3"/>
    <x v="62"/>
    <x v="62"/>
    <x v="0"/>
    <x v="8"/>
    <x v="8"/>
  </r>
  <r>
    <x v="12"/>
    <x v="86"/>
    <x v="3"/>
    <x v="76"/>
    <x v="76"/>
    <x v="0"/>
    <x v="8"/>
    <x v="8"/>
  </r>
  <r>
    <x v="12"/>
    <x v="87"/>
    <x v="0"/>
    <x v="45"/>
    <x v="45"/>
    <x v="0"/>
    <x v="20"/>
    <x v="29"/>
  </r>
  <r>
    <x v="12"/>
    <x v="87"/>
    <x v="4"/>
    <x v="68"/>
    <x v="68"/>
    <x v="0"/>
    <x v="15"/>
    <x v="19"/>
  </r>
  <r>
    <x v="12"/>
    <x v="88"/>
    <x v="1"/>
    <x v="65"/>
    <x v="65"/>
    <x v="1"/>
    <x v="7"/>
    <x v="70"/>
  </r>
  <r>
    <x v="12"/>
    <x v="88"/>
    <x v="1"/>
    <x v="58"/>
    <x v="58"/>
    <x v="0"/>
    <x v="8"/>
    <x v="8"/>
  </r>
  <r>
    <x v="12"/>
    <x v="88"/>
    <x v="3"/>
    <x v="12"/>
    <x v="12"/>
    <x v="0"/>
    <x v="8"/>
    <x v="8"/>
  </r>
  <r>
    <x v="12"/>
    <x v="88"/>
    <x v="3"/>
    <x v="27"/>
    <x v="27"/>
    <x v="0"/>
    <x v="8"/>
    <x v="8"/>
  </r>
  <r>
    <x v="12"/>
    <x v="88"/>
    <x v="3"/>
    <x v="76"/>
    <x v="76"/>
    <x v="0"/>
    <x v="8"/>
    <x v="8"/>
  </r>
  <r>
    <x v="12"/>
    <x v="89"/>
    <x v="0"/>
    <x v="4"/>
    <x v="4"/>
    <x v="6"/>
    <x v="3"/>
    <x v="49"/>
  </r>
  <r>
    <x v="12"/>
    <x v="89"/>
    <x v="0"/>
    <x v="6"/>
    <x v="6"/>
    <x v="5"/>
    <x v="5"/>
    <x v="47"/>
  </r>
  <r>
    <x v="12"/>
    <x v="89"/>
    <x v="0"/>
    <x v="21"/>
    <x v="21"/>
    <x v="0"/>
    <x v="14"/>
    <x v="17"/>
  </r>
  <r>
    <x v="12"/>
    <x v="89"/>
    <x v="0"/>
    <x v="7"/>
    <x v="7"/>
    <x v="7"/>
    <x v="6"/>
    <x v="38"/>
  </r>
  <r>
    <x v="12"/>
    <x v="89"/>
    <x v="3"/>
    <x v="25"/>
    <x v="25"/>
    <x v="0"/>
    <x v="8"/>
    <x v="8"/>
  </r>
  <r>
    <x v="12"/>
    <x v="89"/>
    <x v="3"/>
    <x v="34"/>
    <x v="34"/>
    <x v="0"/>
    <x v="8"/>
    <x v="8"/>
  </r>
  <r>
    <x v="12"/>
    <x v="90"/>
    <x v="4"/>
    <x v="41"/>
    <x v="41"/>
    <x v="0"/>
    <x v="18"/>
    <x v="27"/>
  </r>
  <r>
    <x v="12"/>
    <x v="90"/>
    <x v="3"/>
    <x v="113"/>
    <x v="114"/>
    <x v="0"/>
    <x v="31"/>
    <x v="21"/>
  </r>
  <r>
    <x v="12"/>
    <x v="90"/>
    <x v="3"/>
    <x v="28"/>
    <x v="28"/>
    <x v="0"/>
    <x v="8"/>
    <x v="8"/>
  </r>
  <r>
    <x v="12"/>
    <x v="90"/>
    <x v="3"/>
    <x v="14"/>
    <x v="14"/>
    <x v="0"/>
    <x v="8"/>
    <x v="8"/>
  </r>
  <r>
    <x v="12"/>
    <x v="91"/>
    <x v="2"/>
    <x v="19"/>
    <x v="19"/>
    <x v="1"/>
    <x v="12"/>
    <x v="25"/>
  </r>
  <r>
    <x v="12"/>
    <x v="92"/>
    <x v="0"/>
    <x v="1"/>
    <x v="1"/>
    <x v="0"/>
    <x v="1"/>
    <x v="1"/>
  </r>
  <r>
    <x v="12"/>
    <x v="92"/>
    <x v="0"/>
    <x v="4"/>
    <x v="4"/>
    <x v="0"/>
    <x v="3"/>
    <x v="22"/>
  </r>
  <r>
    <x v="12"/>
    <x v="92"/>
    <x v="0"/>
    <x v="51"/>
    <x v="51"/>
    <x v="0"/>
    <x v="23"/>
    <x v="36"/>
  </r>
  <r>
    <x v="12"/>
    <x v="92"/>
    <x v="0"/>
    <x v="6"/>
    <x v="6"/>
    <x v="7"/>
    <x v="5"/>
    <x v="37"/>
  </r>
  <r>
    <x v="12"/>
    <x v="92"/>
    <x v="0"/>
    <x v="7"/>
    <x v="7"/>
    <x v="1"/>
    <x v="6"/>
    <x v="23"/>
  </r>
  <r>
    <x v="12"/>
    <x v="92"/>
    <x v="0"/>
    <x v="37"/>
    <x v="37"/>
    <x v="0"/>
    <x v="14"/>
    <x v="17"/>
  </r>
  <r>
    <x v="12"/>
    <x v="92"/>
    <x v="2"/>
    <x v="119"/>
    <x v="120"/>
    <x v="0"/>
    <x v="9"/>
    <x v="41"/>
  </r>
  <r>
    <x v="12"/>
    <x v="92"/>
    <x v="2"/>
    <x v="18"/>
    <x v="18"/>
    <x v="1"/>
    <x v="11"/>
    <x v="61"/>
  </r>
  <r>
    <x v="12"/>
    <x v="92"/>
    <x v="3"/>
    <x v="12"/>
    <x v="12"/>
    <x v="0"/>
    <x v="8"/>
    <x v="8"/>
  </r>
  <r>
    <x v="12"/>
    <x v="92"/>
    <x v="3"/>
    <x v="89"/>
    <x v="89"/>
    <x v="0"/>
    <x v="31"/>
    <x v="21"/>
  </r>
  <r>
    <x v="12"/>
    <x v="92"/>
    <x v="3"/>
    <x v="14"/>
    <x v="14"/>
    <x v="0"/>
    <x v="8"/>
    <x v="8"/>
  </r>
  <r>
    <x v="12"/>
    <x v="93"/>
    <x v="3"/>
    <x v="61"/>
    <x v="61"/>
    <x v="0"/>
    <x v="8"/>
    <x v="8"/>
  </r>
  <r>
    <x v="12"/>
    <x v="93"/>
    <x v="3"/>
    <x v="28"/>
    <x v="28"/>
    <x v="0"/>
    <x v="8"/>
    <x v="8"/>
  </r>
  <r>
    <x v="12"/>
    <x v="93"/>
    <x v="3"/>
    <x v="13"/>
    <x v="13"/>
    <x v="0"/>
    <x v="8"/>
    <x v="8"/>
  </r>
  <r>
    <x v="12"/>
    <x v="93"/>
    <x v="3"/>
    <x v="33"/>
    <x v="33"/>
    <x v="0"/>
    <x v="8"/>
    <x v="8"/>
  </r>
  <r>
    <x v="12"/>
    <x v="93"/>
    <x v="3"/>
    <x v="34"/>
    <x v="34"/>
    <x v="0"/>
    <x v="8"/>
    <x v="8"/>
  </r>
  <r>
    <x v="12"/>
    <x v="93"/>
    <x v="3"/>
    <x v="77"/>
    <x v="77"/>
    <x v="0"/>
    <x v="8"/>
    <x v="8"/>
  </r>
  <r>
    <x v="12"/>
    <x v="94"/>
    <x v="0"/>
    <x v="0"/>
    <x v="0"/>
    <x v="0"/>
    <x v="0"/>
    <x v="0"/>
  </r>
  <r>
    <x v="12"/>
    <x v="94"/>
    <x v="0"/>
    <x v="3"/>
    <x v="3"/>
    <x v="0"/>
    <x v="1"/>
    <x v="1"/>
  </r>
  <r>
    <x v="12"/>
    <x v="94"/>
    <x v="0"/>
    <x v="86"/>
    <x v="86"/>
    <x v="0"/>
    <x v="17"/>
    <x v="24"/>
  </r>
  <r>
    <x v="12"/>
    <x v="94"/>
    <x v="0"/>
    <x v="4"/>
    <x v="4"/>
    <x v="6"/>
    <x v="3"/>
    <x v="49"/>
  </r>
  <r>
    <x v="12"/>
    <x v="94"/>
    <x v="0"/>
    <x v="6"/>
    <x v="6"/>
    <x v="1"/>
    <x v="5"/>
    <x v="5"/>
  </r>
  <r>
    <x v="12"/>
    <x v="94"/>
    <x v="0"/>
    <x v="7"/>
    <x v="7"/>
    <x v="9"/>
    <x v="6"/>
    <x v="62"/>
  </r>
  <r>
    <x v="12"/>
    <x v="94"/>
    <x v="0"/>
    <x v="22"/>
    <x v="22"/>
    <x v="0"/>
    <x v="15"/>
    <x v="19"/>
  </r>
  <r>
    <x v="12"/>
    <x v="94"/>
    <x v="0"/>
    <x v="39"/>
    <x v="39"/>
    <x v="0"/>
    <x v="17"/>
    <x v="24"/>
  </r>
  <r>
    <x v="12"/>
    <x v="94"/>
    <x v="1"/>
    <x v="65"/>
    <x v="65"/>
    <x v="0"/>
    <x v="7"/>
    <x v="7"/>
  </r>
  <r>
    <x v="12"/>
    <x v="94"/>
    <x v="2"/>
    <x v="19"/>
    <x v="19"/>
    <x v="1"/>
    <x v="12"/>
    <x v="25"/>
  </r>
  <r>
    <x v="12"/>
    <x v="94"/>
    <x v="4"/>
    <x v="35"/>
    <x v="35"/>
    <x v="0"/>
    <x v="17"/>
    <x v="24"/>
  </r>
  <r>
    <x v="12"/>
    <x v="94"/>
    <x v="3"/>
    <x v="11"/>
    <x v="11"/>
    <x v="0"/>
    <x v="8"/>
    <x v="8"/>
  </r>
  <r>
    <x v="12"/>
    <x v="94"/>
    <x v="3"/>
    <x v="12"/>
    <x v="12"/>
    <x v="0"/>
    <x v="8"/>
    <x v="8"/>
  </r>
  <r>
    <x v="12"/>
    <x v="94"/>
    <x v="3"/>
    <x v="89"/>
    <x v="89"/>
    <x v="0"/>
    <x v="31"/>
    <x v="21"/>
  </r>
  <r>
    <x v="12"/>
    <x v="94"/>
    <x v="3"/>
    <x v="27"/>
    <x v="27"/>
    <x v="0"/>
    <x v="8"/>
    <x v="8"/>
  </r>
  <r>
    <x v="12"/>
    <x v="94"/>
    <x v="3"/>
    <x v="28"/>
    <x v="28"/>
    <x v="0"/>
    <x v="8"/>
    <x v="8"/>
  </r>
  <r>
    <x v="12"/>
    <x v="94"/>
    <x v="3"/>
    <x v="13"/>
    <x v="13"/>
    <x v="5"/>
    <x v="8"/>
    <x v="1"/>
  </r>
  <r>
    <x v="12"/>
    <x v="94"/>
    <x v="3"/>
    <x v="14"/>
    <x v="14"/>
    <x v="0"/>
    <x v="8"/>
    <x v="8"/>
  </r>
  <r>
    <x v="12"/>
    <x v="94"/>
    <x v="3"/>
    <x v="30"/>
    <x v="30"/>
    <x v="0"/>
    <x v="8"/>
    <x v="8"/>
  </r>
  <r>
    <x v="12"/>
    <x v="94"/>
    <x v="3"/>
    <x v="15"/>
    <x v="15"/>
    <x v="0"/>
    <x v="8"/>
    <x v="8"/>
  </r>
  <r>
    <x v="12"/>
    <x v="94"/>
    <x v="3"/>
    <x v="34"/>
    <x v="34"/>
    <x v="0"/>
    <x v="8"/>
    <x v="8"/>
  </r>
  <r>
    <x v="12"/>
    <x v="94"/>
    <x v="3"/>
    <x v="53"/>
    <x v="53"/>
    <x v="0"/>
    <x v="8"/>
    <x v="8"/>
  </r>
  <r>
    <x v="12"/>
    <x v="95"/>
    <x v="1"/>
    <x v="66"/>
    <x v="66"/>
    <x v="0"/>
    <x v="8"/>
    <x v="8"/>
  </r>
  <r>
    <x v="13"/>
    <x v="96"/>
    <x v="1"/>
    <x v="70"/>
    <x v="70"/>
    <x v="0"/>
    <x v="10"/>
    <x v="11"/>
  </r>
  <r>
    <x v="13"/>
    <x v="96"/>
    <x v="1"/>
    <x v="63"/>
    <x v="63"/>
    <x v="0"/>
    <x v="8"/>
    <x v="8"/>
  </r>
  <r>
    <x v="13"/>
    <x v="96"/>
    <x v="1"/>
    <x v="8"/>
    <x v="8"/>
    <x v="0"/>
    <x v="7"/>
    <x v="7"/>
  </r>
  <r>
    <x v="13"/>
    <x v="96"/>
    <x v="1"/>
    <x v="58"/>
    <x v="58"/>
    <x v="1"/>
    <x v="8"/>
    <x v="21"/>
  </r>
  <r>
    <x v="13"/>
    <x v="96"/>
    <x v="2"/>
    <x v="24"/>
    <x v="24"/>
    <x v="3"/>
    <x v="16"/>
    <x v="74"/>
  </r>
  <r>
    <x v="13"/>
    <x v="96"/>
    <x v="2"/>
    <x v="18"/>
    <x v="18"/>
    <x v="0"/>
    <x v="11"/>
    <x v="12"/>
  </r>
  <r>
    <x v="13"/>
    <x v="96"/>
    <x v="2"/>
    <x v="10"/>
    <x v="10"/>
    <x v="6"/>
    <x v="9"/>
    <x v="54"/>
  </r>
  <r>
    <x v="13"/>
    <x v="96"/>
    <x v="2"/>
    <x v="19"/>
    <x v="19"/>
    <x v="6"/>
    <x v="12"/>
    <x v="13"/>
  </r>
  <r>
    <x v="13"/>
    <x v="96"/>
    <x v="2"/>
    <x v="55"/>
    <x v="55"/>
    <x v="0"/>
    <x v="9"/>
    <x v="41"/>
  </r>
  <r>
    <x v="13"/>
    <x v="96"/>
    <x v="3"/>
    <x v="11"/>
    <x v="11"/>
    <x v="2"/>
    <x v="8"/>
    <x v="29"/>
  </r>
  <r>
    <x v="13"/>
    <x v="96"/>
    <x v="3"/>
    <x v="120"/>
    <x v="121"/>
    <x v="0"/>
    <x v="8"/>
    <x v="8"/>
  </r>
  <r>
    <x v="13"/>
    <x v="96"/>
    <x v="3"/>
    <x v="15"/>
    <x v="15"/>
    <x v="0"/>
    <x v="8"/>
    <x v="8"/>
  </r>
  <r>
    <x v="13"/>
    <x v="97"/>
    <x v="0"/>
    <x v="4"/>
    <x v="4"/>
    <x v="5"/>
    <x v="3"/>
    <x v="46"/>
  </r>
  <r>
    <x v="13"/>
    <x v="97"/>
    <x v="0"/>
    <x v="6"/>
    <x v="6"/>
    <x v="5"/>
    <x v="5"/>
    <x v="47"/>
  </r>
  <r>
    <x v="13"/>
    <x v="97"/>
    <x v="0"/>
    <x v="7"/>
    <x v="7"/>
    <x v="9"/>
    <x v="6"/>
    <x v="62"/>
  </r>
  <r>
    <x v="13"/>
    <x v="97"/>
    <x v="0"/>
    <x v="39"/>
    <x v="39"/>
    <x v="1"/>
    <x v="17"/>
    <x v="40"/>
  </r>
  <r>
    <x v="13"/>
    <x v="97"/>
    <x v="6"/>
    <x v="54"/>
    <x v="54"/>
    <x v="0"/>
    <x v="9"/>
    <x v="41"/>
  </r>
  <r>
    <x v="13"/>
    <x v="97"/>
    <x v="3"/>
    <x v="88"/>
    <x v="88"/>
    <x v="0"/>
    <x v="8"/>
    <x v="8"/>
  </r>
  <r>
    <x v="13"/>
    <x v="97"/>
    <x v="3"/>
    <x v="61"/>
    <x v="61"/>
    <x v="0"/>
    <x v="8"/>
    <x v="8"/>
  </r>
  <r>
    <x v="13"/>
    <x v="97"/>
    <x v="3"/>
    <x v="89"/>
    <x v="89"/>
    <x v="0"/>
    <x v="31"/>
    <x v="21"/>
  </r>
  <r>
    <x v="13"/>
    <x v="97"/>
    <x v="3"/>
    <x v="27"/>
    <x v="27"/>
    <x v="0"/>
    <x v="8"/>
    <x v="8"/>
  </r>
  <r>
    <x v="13"/>
    <x v="97"/>
    <x v="3"/>
    <x v="14"/>
    <x v="14"/>
    <x v="1"/>
    <x v="8"/>
    <x v="21"/>
  </r>
  <r>
    <x v="13"/>
    <x v="97"/>
    <x v="3"/>
    <x v="53"/>
    <x v="53"/>
    <x v="1"/>
    <x v="8"/>
    <x v="21"/>
  </r>
  <r>
    <x v="13"/>
    <x v="97"/>
    <x v="3"/>
    <x v="121"/>
    <x v="122"/>
    <x v="0"/>
    <x v="8"/>
    <x v="8"/>
  </r>
  <r>
    <x v="13"/>
    <x v="98"/>
    <x v="0"/>
    <x v="42"/>
    <x v="42"/>
    <x v="0"/>
    <x v="1"/>
    <x v="1"/>
  </r>
  <r>
    <x v="13"/>
    <x v="98"/>
    <x v="0"/>
    <x v="4"/>
    <x v="4"/>
    <x v="2"/>
    <x v="3"/>
    <x v="15"/>
  </r>
  <r>
    <x v="13"/>
    <x v="98"/>
    <x v="0"/>
    <x v="7"/>
    <x v="7"/>
    <x v="5"/>
    <x v="6"/>
    <x v="18"/>
  </r>
  <r>
    <x v="13"/>
    <x v="98"/>
    <x v="0"/>
    <x v="39"/>
    <x v="39"/>
    <x v="0"/>
    <x v="17"/>
    <x v="24"/>
  </r>
  <r>
    <x v="13"/>
    <x v="98"/>
    <x v="1"/>
    <x v="71"/>
    <x v="71"/>
    <x v="0"/>
    <x v="8"/>
    <x v="8"/>
  </r>
  <r>
    <x v="13"/>
    <x v="98"/>
    <x v="1"/>
    <x v="8"/>
    <x v="8"/>
    <x v="0"/>
    <x v="7"/>
    <x v="7"/>
  </r>
  <r>
    <x v="13"/>
    <x v="98"/>
    <x v="4"/>
    <x v="67"/>
    <x v="67"/>
    <x v="0"/>
    <x v="17"/>
    <x v="24"/>
  </r>
  <r>
    <x v="13"/>
    <x v="98"/>
    <x v="4"/>
    <x v="59"/>
    <x v="59"/>
    <x v="0"/>
    <x v="18"/>
    <x v="27"/>
  </r>
  <r>
    <x v="13"/>
    <x v="98"/>
    <x v="4"/>
    <x v="41"/>
    <x v="41"/>
    <x v="0"/>
    <x v="18"/>
    <x v="27"/>
  </r>
  <r>
    <x v="13"/>
    <x v="98"/>
    <x v="4"/>
    <x v="68"/>
    <x v="68"/>
    <x v="0"/>
    <x v="15"/>
    <x v="19"/>
  </r>
  <r>
    <x v="13"/>
    <x v="98"/>
    <x v="3"/>
    <x v="11"/>
    <x v="11"/>
    <x v="8"/>
    <x v="8"/>
    <x v="68"/>
  </r>
  <r>
    <x v="13"/>
    <x v="98"/>
    <x v="3"/>
    <x v="12"/>
    <x v="12"/>
    <x v="0"/>
    <x v="8"/>
    <x v="8"/>
  </r>
  <r>
    <x v="13"/>
    <x v="98"/>
    <x v="3"/>
    <x v="28"/>
    <x v="28"/>
    <x v="0"/>
    <x v="8"/>
    <x v="8"/>
  </r>
  <r>
    <x v="13"/>
    <x v="98"/>
    <x v="3"/>
    <x v="52"/>
    <x v="52"/>
    <x v="0"/>
    <x v="8"/>
    <x v="8"/>
  </r>
  <r>
    <x v="13"/>
    <x v="98"/>
    <x v="3"/>
    <x v="14"/>
    <x v="14"/>
    <x v="5"/>
    <x v="8"/>
    <x v="1"/>
  </r>
  <r>
    <x v="13"/>
    <x v="98"/>
    <x v="3"/>
    <x v="15"/>
    <x v="15"/>
    <x v="0"/>
    <x v="8"/>
    <x v="8"/>
  </r>
  <r>
    <x v="13"/>
    <x v="98"/>
    <x v="3"/>
    <x v="34"/>
    <x v="34"/>
    <x v="0"/>
    <x v="8"/>
    <x v="8"/>
  </r>
  <r>
    <x v="13"/>
    <x v="99"/>
    <x v="0"/>
    <x v="0"/>
    <x v="0"/>
    <x v="0"/>
    <x v="0"/>
    <x v="0"/>
  </r>
  <r>
    <x v="13"/>
    <x v="99"/>
    <x v="0"/>
    <x v="43"/>
    <x v="94"/>
    <x v="0"/>
    <x v="19"/>
    <x v="28"/>
  </r>
  <r>
    <x v="13"/>
    <x v="100"/>
    <x v="0"/>
    <x v="80"/>
    <x v="80"/>
    <x v="0"/>
    <x v="26"/>
    <x v="56"/>
  </r>
  <r>
    <x v="13"/>
    <x v="100"/>
    <x v="0"/>
    <x v="45"/>
    <x v="45"/>
    <x v="0"/>
    <x v="20"/>
    <x v="29"/>
  </r>
  <r>
    <x v="13"/>
    <x v="100"/>
    <x v="0"/>
    <x v="4"/>
    <x v="4"/>
    <x v="5"/>
    <x v="3"/>
    <x v="46"/>
  </r>
  <r>
    <x v="13"/>
    <x v="100"/>
    <x v="0"/>
    <x v="6"/>
    <x v="6"/>
    <x v="0"/>
    <x v="5"/>
    <x v="16"/>
  </r>
  <r>
    <x v="13"/>
    <x v="100"/>
    <x v="0"/>
    <x v="21"/>
    <x v="21"/>
    <x v="0"/>
    <x v="14"/>
    <x v="17"/>
  </r>
  <r>
    <x v="13"/>
    <x v="100"/>
    <x v="0"/>
    <x v="7"/>
    <x v="7"/>
    <x v="7"/>
    <x v="6"/>
    <x v="38"/>
  </r>
  <r>
    <x v="13"/>
    <x v="100"/>
    <x v="4"/>
    <x v="35"/>
    <x v="35"/>
    <x v="0"/>
    <x v="17"/>
    <x v="24"/>
  </r>
  <r>
    <x v="13"/>
    <x v="101"/>
    <x v="1"/>
    <x v="8"/>
    <x v="8"/>
    <x v="0"/>
    <x v="7"/>
    <x v="7"/>
  </r>
  <r>
    <x v="13"/>
    <x v="102"/>
    <x v="0"/>
    <x v="21"/>
    <x v="21"/>
    <x v="0"/>
    <x v="14"/>
    <x v="17"/>
  </r>
  <r>
    <x v="13"/>
    <x v="102"/>
    <x v="1"/>
    <x v="122"/>
    <x v="123"/>
    <x v="0"/>
    <x v="24"/>
    <x v="44"/>
  </r>
  <r>
    <x v="13"/>
    <x v="102"/>
    <x v="2"/>
    <x v="24"/>
    <x v="24"/>
    <x v="16"/>
    <x v="16"/>
    <x v="80"/>
  </r>
  <r>
    <x v="13"/>
    <x v="102"/>
    <x v="2"/>
    <x v="18"/>
    <x v="18"/>
    <x v="1"/>
    <x v="11"/>
    <x v="61"/>
  </r>
  <r>
    <x v="13"/>
    <x v="102"/>
    <x v="2"/>
    <x v="40"/>
    <x v="40"/>
    <x v="6"/>
    <x v="16"/>
    <x v="20"/>
  </r>
  <r>
    <x v="13"/>
    <x v="102"/>
    <x v="2"/>
    <x v="19"/>
    <x v="19"/>
    <x v="2"/>
    <x v="12"/>
    <x v="9"/>
  </r>
  <r>
    <x v="13"/>
    <x v="102"/>
    <x v="3"/>
    <x v="12"/>
    <x v="12"/>
    <x v="1"/>
    <x v="8"/>
    <x v="21"/>
  </r>
  <r>
    <x v="13"/>
    <x v="102"/>
    <x v="3"/>
    <x v="123"/>
    <x v="124"/>
    <x v="0"/>
    <x v="8"/>
    <x v="8"/>
  </r>
  <r>
    <x v="13"/>
    <x v="102"/>
    <x v="3"/>
    <x v="27"/>
    <x v="27"/>
    <x v="0"/>
    <x v="8"/>
    <x v="8"/>
  </r>
  <r>
    <x v="13"/>
    <x v="102"/>
    <x v="3"/>
    <x v="28"/>
    <x v="28"/>
    <x v="1"/>
    <x v="8"/>
    <x v="21"/>
  </r>
  <r>
    <x v="13"/>
    <x v="102"/>
    <x v="3"/>
    <x v="13"/>
    <x v="13"/>
    <x v="1"/>
    <x v="8"/>
    <x v="21"/>
  </r>
  <r>
    <x v="13"/>
    <x v="102"/>
    <x v="3"/>
    <x v="36"/>
    <x v="36"/>
    <x v="0"/>
    <x v="8"/>
    <x v="8"/>
  </r>
  <r>
    <x v="13"/>
    <x v="102"/>
    <x v="3"/>
    <x v="30"/>
    <x v="30"/>
    <x v="0"/>
    <x v="8"/>
    <x v="8"/>
  </r>
  <r>
    <x v="13"/>
    <x v="102"/>
    <x v="3"/>
    <x v="34"/>
    <x v="34"/>
    <x v="5"/>
    <x v="8"/>
    <x v="1"/>
  </r>
  <r>
    <x v="13"/>
    <x v="103"/>
    <x v="0"/>
    <x v="86"/>
    <x v="86"/>
    <x v="0"/>
    <x v="17"/>
    <x v="24"/>
  </r>
  <r>
    <x v="13"/>
    <x v="103"/>
    <x v="0"/>
    <x v="4"/>
    <x v="4"/>
    <x v="5"/>
    <x v="3"/>
    <x v="46"/>
  </r>
  <r>
    <x v="13"/>
    <x v="103"/>
    <x v="0"/>
    <x v="6"/>
    <x v="6"/>
    <x v="5"/>
    <x v="5"/>
    <x v="47"/>
  </r>
  <r>
    <x v="13"/>
    <x v="103"/>
    <x v="0"/>
    <x v="7"/>
    <x v="7"/>
    <x v="8"/>
    <x v="6"/>
    <x v="32"/>
  </r>
  <r>
    <x v="13"/>
    <x v="103"/>
    <x v="3"/>
    <x v="12"/>
    <x v="12"/>
    <x v="0"/>
    <x v="8"/>
    <x v="8"/>
  </r>
  <r>
    <x v="14"/>
    <x v="104"/>
    <x v="0"/>
    <x v="42"/>
    <x v="42"/>
    <x v="0"/>
    <x v="1"/>
    <x v="1"/>
  </r>
  <r>
    <x v="14"/>
    <x v="104"/>
    <x v="0"/>
    <x v="4"/>
    <x v="4"/>
    <x v="8"/>
    <x v="3"/>
    <x v="81"/>
  </r>
  <r>
    <x v="14"/>
    <x v="104"/>
    <x v="0"/>
    <x v="51"/>
    <x v="51"/>
    <x v="0"/>
    <x v="23"/>
    <x v="36"/>
  </r>
  <r>
    <x v="14"/>
    <x v="104"/>
    <x v="0"/>
    <x v="5"/>
    <x v="5"/>
    <x v="0"/>
    <x v="4"/>
    <x v="4"/>
  </r>
  <r>
    <x v="14"/>
    <x v="104"/>
    <x v="0"/>
    <x v="6"/>
    <x v="6"/>
    <x v="0"/>
    <x v="5"/>
    <x v="16"/>
  </r>
  <r>
    <x v="14"/>
    <x v="104"/>
    <x v="1"/>
    <x v="56"/>
    <x v="56"/>
    <x v="0"/>
    <x v="24"/>
    <x v="44"/>
  </r>
  <r>
    <x v="14"/>
    <x v="104"/>
    <x v="1"/>
    <x v="58"/>
    <x v="58"/>
    <x v="0"/>
    <x v="8"/>
    <x v="8"/>
  </r>
  <r>
    <x v="14"/>
    <x v="104"/>
    <x v="4"/>
    <x v="83"/>
    <x v="83"/>
    <x v="0"/>
    <x v="0"/>
    <x v="0"/>
  </r>
  <r>
    <x v="14"/>
    <x v="104"/>
    <x v="3"/>
    <x v="11"/>
    <x v="11"/>
    <x v="7"/>
    <x v="8"/>
    <x v="24"/>
  </r>
  <r>
    <x v="14"/>
    <x v="104"/>
    <x v="3"/>
    <x v="25"/>
    <x v="25"/>
    <x v="0"/>
    <x v="8"/>
    <x v="8"/>
  </r>
  <r>
    <x v="14"/>
    <x v="104"/>
    <x v="3"/>
    <x v="12"/>
    <x v="12"/>
    <x v="0"/>
    <x v="8"/>
    <x v="8"/>
  </r>
  <r>
    <x v="14"/>
    <x v="104"/>
    <x v="3"/>
    <x v="61"/>
    <x v="61"/>
    <x v="0"/>
    <x v="8"/>
    <x v="8"/>
  </r>
  <r>
    <x v="14"/>
    <x v="104"/>
    <x v="3"/>
    <x v="27"/>
    <x v="27"/>
    <x v="0"/>
    <x v="8"/>
    <x v="8"/>
  </r>
  <r>
    <x v="14"/>
    <x v="104"/>
    <x v="3"/>
    <x v="30"/>
    <x v="30"/>
    <x v="1"/>
    <x v="8"/>
    <x v="21"/>
  </r>
  <r>
    <x v="14"/>
    <x v="104"/>
    <x v="3"/>
    <x v="31"/>
    <x v="31"/>
    <x v="0"/>
    <x v="10"/>
    <x v="11"/>
  </r>
  <r>
    <x v="14"/>
    <x v="104"/>
    <x v="3"/>
    <x v="62"/>
    <x v="62"/>
    <x v="0"/>
    <x v="8"/>
    <x v="8"/>
  </r>
  <r>
    <x v="14"/>
    <x v="105"/>
    <x v="0"/>
    <x v="1"/>
    <x v="1"/>
    <x v="0"/>
    <x v="1"/>
    <x v="1"/>
  </r>
  <r>
    <x v="14"/>
    <x v="105"/>
    <x v="0"/>
    <x v="87"/>
    <x v="87"/>
    <x v="0"/>
    <x v="30"/>
    <x v="65"/>
  </r>
  <r>
    <x v="14"/>
    <x v="105"/>
    <x v="0"/>
    <x v="4"/>
    <x v="4"/>
    <x v="0"/>
    <x v="3"/>
    <x v="22"/>
  </r>
  <r>
    <x v="14"/>
    <x v="105"/>
    <x v="0"/>
    <x v="6"/>
    <x v="6"/>
    <x v="1"/>
    <x v="5"/>
    <x v="5"/>
  </r>
  <r>
    <x v="14"/>
    <x v="105"/>
    <x v="0"/>
    <x v="7"/>
    <x v="7"/>
    <x v="4"/>
    <x v="6"/>
    <x v="82"/>
  </r>
  <r>
    <x v="14"/>
    <x v="105"/>
    <x v="2"/>
    <x v="18"/>
    <x v="18"/>
    <x v="0"/>
    <x v="11"/>
    <x v="12"/>
  </r>
  <r>
    <x v="14"/>
    <x v="105"/>
    <x v="2"/>
    <x v="10"/>
    <x v="10"/>
    <x v="9"/>
    <x v="9"/>
    <x v="83"/>
  </r>
  <r>
    <x v="14"/>
    <x v="105"/>
    <x v="2"/>
    <x v="19"/>
    <x v="19"/>
    <x v="0"/>
    <x v="12"/>
    <x v="34"/>
  </r>
  <r>
    <x v="14"/>
    <x v="105"/>
    <x v="4"/>
    <x v="92"/>
    <x v="92"/>
    <x v="0"/>
    <x v="29"/>
    <x v="64"/>
  </r>
  <r>
    <x v="14"/>
    <x v="105"/>
    <x v="3"/>
    <x v="11"/>
    <x v="11"/>
    <x v="6"/>
    <x v="8"/>
    <x v="58"/>
  </r>
  <r>
    <x v="14"/>
    <x v="105"/>
    <x v="3"/>
    <x v="25"/>
    <x v="25"/>
    <x v="0"/>
    <x v="8"/>
    <x v="8"/>
  </r>
  <r>
    <x v="14"/>
    <x v="105"/>
    <x v="3"/>
    <x v="73"/>
    <x v="73"/>
    <x v="0"/>
    <x v="8"/>
    <x v="8"/>
  </r>
  <r>
    <x v="14"/>
    <x v="105"/>
    <x v="3"/>
    <x v="14"/>
    <x v="14"/>
    <x v="0"/>
    <x v="8"/>
    <x v="8"/>
  </r>
  <r>
    <x v="14"/>
    <x v="105"/>
    <x v="3"/>
    <x v="30"/>
    <x v="30"/>
    <x v="0"/>
    <x v="8"/>
    <x v="8"/>
  </r>
  <r>
    <x v="14"/>
    <x v="105"/>
    <x v="3"/>
    <x v="33"/>
    <x v="33"/>
    <x v="0"/>
    <x v="8"/>
    <x v="8"/>
  </r>
  <r>
    <x v="14"/>
    <x v="105"/>
    <x v="3"/>
    <x v="34"/>
    <x v="34"/>
    <x v="0"/>
    <x v="8"/>
    <x v="8"/>
  </r>
  <r>
    <x v="14"/>
    <x v="106"/>
    <x v="0"/>
    <x v="124"/>
    <x v="125"/>
    <x v="0"/>
    <x v="33"/>
    <x v="71"/>
  </r>
  <r>
    <x v="14"/>
    <x v="106"/>
    <x v="0"/>
    <x v="7"/>
    <x v="7"/>
    <x v="2"/>
    <x v="6"/>
    <x v="6"/>
  </r>
  <r>
    <x v="14"/>
    <x v="106"/>
    <x v="0"/>
    <x v="101"/>
    <x v="102"/>
    <x v="0"/>
    <x v="5"/>
    <x v="16"/>
  </r>
  <r>
    <x v="14"/>
    <x v="106"/>
    <x v="0"/>
    <x v="39"/>
    <x v="39"/>
    <x v="1"/>
    <x v="17"/>
    <x v="40"/>
  </r>
  <r>
    <x v="14"/>
    <x v="106"/>
    <x v="3"/>
    <x v="11"/>
    <x v="11"/>
    <x v="7"/>
    <x v="8"/>
    <x v="24"/>
  </r>
  <r>
    <x v="14"/>
    <x v="106"/>
    <x v="3"/>
    <x v="89"/>
    <x v="89"/>
    <x v="0"/>
    <x v="31"/>
    <x v="21"/>
  </r>
  <r>
    <x v="14"/>
    <x v="106"/>
    <x v="3"/>
    <x v="33"/>
    <x v="33"/>
    <x v="0"/>
    <x v="8"/>
    <x v="8"/>
  </r>
  <r>
    <x v="14"/>
    <x v="106"/>
    <x v="3"/>
    <x v="34"/>
    <x v="34"/>
    <x v="0"/>
    <x v="8"/>
    <x v="8"/>
  </r>
  <r>
    <x v="15"/>
    <x v="107"/>
    <x v="0"/>
    <x v="4"/>
    <x v="4"/>
    <x v="5"/>
    <x v="3"/>
    <x v="46"/>
  </r>
  <r>
    <x v="15"/>
    <x v="107"/>
    <x v="2"/>
    <x v="24"/>
    <x v="24"/>
    <x v="0"/>
    <x v="16"/>
    <x v="84"/>
  </r>
  <r>
    <x v="15"/>
    <x v="107"/>
    <x v="2"/>
    <x v="19"/>
    <x v="19"/>
    <x v="2"/>
    <x v="12"/>
    <x v="9"/>
  </r>
  <r>
    <x v="15"/>
    <x v="107"/>
    <x v="3"/>
    <x v="11"/>
    <x v="11"/>
    <x v="0"/>
    <x v="8"/>
    <x v="8"/>
  </r>
  <r>
    <x v="15"/>
    <x v="107"/>
    <x v="3"/>
    <x v="28"/>
    <x v="28"/>
    <x v="0"/>
    <x v="8"/>
    <x v="8"/>
  </r>
  <r>
    <x v="15"/>
    <x v="107"/>
    <x v="3"/>
    <x v="13"/>
    <x v="13"/>
    <x v="0"/>
    <x v="8"/>
    <x v="8"/>
  </r>
  <r>
    <x v="15"/>
    <x v="107"/>
    <x v="3"/>
    <x v="14"/>
    <x v="14"/>
    <x v="0"/>
    <x v="8"/>
    <x v="8"/>
  </r>
  <r>
    <x v="16"/>
    <x v="108"/>
    <x v="2"/>
    <x v="10"/>
    <x v="10"/>
    <x v="3"/>
    <x v="9"/>
    <x v="9"/>
  </r>
  <r>
    <x v="16"/>
    <x v="109"/>
    <x v="0"/>
    <x v="42"/>
    <x v="42"/>
    <x v="0"/>
    <x v="1"/>
    <x v="1"/>
  </r>
  <r>
    <x v="16"/>
    <x v="109"/>
    <x v="0"/>
    <x v="4"/>
    <x v="4"/>
    <x v="7"/>
    <x v="3"/>
    <x v="39"/>
  </r>
  <r>
    <x v="16"/>
    <x v="109"/>
    <x v="1"/>
    <x v="8"/>
    <x v="8"/>
    <x v="0"/>
    <x v="7"/>
    <x v="7"/>
  </r>
  <r>
    <x v="16"/>
    <x v="109"/>
    <x v="2"/>
    <x v="24"/>
    <x v="24"/>
    <x v="0"/>
    <x v="16"/>
    <x v="84"/>
  </r>
  <r>
    <x v="16"/>
    <x v="109"/>
    <x v="2"/>
    <x v="19"/>
    <x v="19"/>
    <x v="1"/>
    <x v="12"/>
    <x v="25"/>
  </r>
  <r>
    <x v="16"/>
    <x v="109"/>
    <x v="3"/>
    <x v="11"/>
    <x v="11"/>
    <x v="0"/>
    <x v="8"/>
    <x v="8"/>
  </r>
  <r>
    <x v="16"/>
    <x v="109"/>
    <x v="3"/>
    <x v="12"/>
    <x v="12"/>
    <x v="0"/>
    <x v="8"/>
    <x v="8"/>
  </r>
  <r>
    <x v="16"/>
    <x v="109"/>
    <x v="3"/>
    <x v="27"/>
    <x v="27"/>
    <x v="0"/>
    <x v="8"/>
    <x v="8"/>
  </r>
  <r>
    <x v="16"/>
    <x v="109"/>
    <x v="3"/>
    <x v="13"/>
    <x v="13"/>
    <x v="0"/>
    <x v="8"/>
    <x v="8"/>
  </r>
  <r>
    <x v="16"/>
    <x v="109"/>
    <x v="3"/>
    <x v="30"/>
    <x v="30"/>
    <x v="0"/>
    <x v="8"/>
    <x v="8"/>
  </r>
  <r>
    <x v="16"/>
    <x v="109"/>
    <x v="3"/>
    <x v="34"/>
    <x v="34"/>
    <x v="0"/>
    <x v="8"/>
    <x v="8"/>
  </r>
  <r>
    <x v="16"/>
    <x v="109"/>
    <x v="3"/>
    <x v="53"/>
    <x v="53"/>
    <x v="0"/>
    <x v="8"/>
    <x v="8"/>
  </r>
  <r>
    <x v="16"/>
    <x v="110"/>
    <x v="3"/>
    <x v="28"/>
    <x v="28"/>
    <x v="0"/>
    <x v="8"/>
    <x v="8"/>
  </r>
  <r>
    <x v="16"/>
    <x v="110"/>
    <x v="3"/>
    <x v="13"/>
    <x v="13"/>
    <x v="0"/>
    <x v="8"/>
    <x v="8"/>
  </r>
  <r>
    <x v="16"/>
    <x v="111"/>
    <x v="0"/>
    <x v="4"/>
    <x v="4"/>
    <x v="1"/>
    <x v="3"/>
    <x v="3"/>
  </r>
  <r>
    <x v="16"/>
    <x v="111"/>
    <x v="0"/>
    <x v="6"/>
    <x v="6"/>
    <x v="0"/>
    <x v="5"/>
    <x v="16"/>
  </r>
  <r>
    <x v="16"/>
    <x v="111"/>
    <x v="0"/>
    <x v="7"/>
    <x v="7"/>
    <x v="7"/>
    <x v="6"/>
    <x v="38"/>
  </r>
  <r>
    <x v="16"/>
    <x v="111"/>
    <x v="0"/>
    <x v="39"/>
    <x v="39"/>
    <x v="5"/>
    <x v="17"/>
    <x v="72"/>
  </r>
  <r>
    <x v="16"/>
    <x v="111"/>
    <x v="3"/>
    <x v="12"/>
    <x v="12"/>
    <x v="1"/>
    <x v="8"/>
    <x v="21"/>
  </r>
  <r>
    <x v="16"/>
    <x v="111"/>
    <x v="3"/>
    <x v="27"/>
    <x v="27"/>
    <x v="0"/>
    <x v="8"/>
    <x v="8"/>
  </r>
  <r>
    <x v="16"/>
    <x v="111"/>
    <x v="3"/>
    <x v="13"/>
    <x v="13"/>
    <x v="0"/>
    <x v="8"/>
    <x v="8"/>
  </r>
  <r>
    <x v="16"/>
    <x v="111"/>
    <x v="3"/>
    <x v="14"/>
    <x v="14"/>
    <x v="0"/>
    <x v="8"/>
    <x v="8"/>
  </r>
  <r>
    <x v="16"/>
    <x v="111"/>
    <x v="3"/>
    <x v="34"/>
    <x v="34"/>
    <x v="0"/>
    <x v="8"/>
    <x v="8"/>
  </r>
  <r>
    <x v="16"/>
    <x v="112"/>
    <x v="0"/>
    <x v="6"/>
    <x v="6"/>
    <x v="0"/>
    <x v="5"/>
    <x v="16"/>
  </r>
  <r>
    <x v="16"/>
    <x v="112"/>
    <x v="0"/>
    <x v="7"/>
    <x v="7"/>
    <x v="1"/>
    <x v="6"/>
    <x v="23"/>
  </r>
  <r>
    <x v="16"/>
    <x v="113"/>
    <x v="0"/>
    <x v="4"/>
    <x v="4"/>
    <x v="5"/>
    <x v="3"/>
    <x v="46"/>
  </r>
  <r>
    <x v="16"/>
    <x v="113"/>
    <x v="0"/>
    <x v="6"/>
    <x v="6"/>
    <x v="0"/>
    <x v="5"/>
    <x v="16"/>
  </r>
  <r>
    <x v="16"/>
    <x v="113"/>
    <x v="0"/>
    <x v="7"/>
    <x v="7"/>
    <x v="7"/>
    <x v="6"/>
    <x v="38"/>
  </r>
  <r>
    <x v="16"/>
    <x v="113"/>
    <x v="0"/>
    <x v="39"/>
    <x v="39"/>
    <x v="1"/>
    <x v="17"/>
    <x v="40"/>
  </r>
  <r>
    <x v="16"/>
    <x v="113"/>
    <x v="2"/>
    <x v="24"/>
    <x v="24"/>
    <x v="17"/>
    <x v="16"/>
    <x v="85"/>
  </r>
  <r>
    <x v="16"/>
    <x v="113"/>
    <x v="2"/>
    <x v="18"/>
    <x v="18"/>
    <x v="1"/>
    <x v="11"/>
    <x v="61"/>
  </r>
  <r>
    <x v="16"/>
    <x v="113"/>
    <x v="2"/>
    <x v="40"/>
    <x v="40"/>
    <x v="4"/>
    <x v="16"/>
    <x v="41"/>
  </r>
  <r>
    <x v="16"/>
    <x v="113"/>
    <x v="2"/>
    <x v="19"/>
    <x v="19"/>
    <x v="1"/>
    <x v="12"/>
    <x v="25"/>
  </r>
  <r>
    <x v="16"/>
    <x v="113"/>
    <x v="2"/>
    <x v="55"/>
    <x v="55"/>
    <x v="0"/>
    <x v="9"/>
    <x v="41"/>
  </r>
  <r>
    <x v="16"/>
    <x v="113"/>
    <x v="3"/>
    <x v="12"/>
    <x v="12"/>
    <x v="1"/>
    <x v="8"/>
    <x v="21"/>
  </r>
  <r>
    <x v="16"/>
    <x v="113"/>
    <x v="3"/>
    <x v="13"/>
    <x v="13"/>
    <x v="0"/>
    <x v="8"/>
    <x v="8"/>
  </r>
  <r>
    <x v="16"/>
    <x v="113"/>
    <x v="3"/>
    <x v="14"/>
    <x v="14"/>
    <x v="0"/>
    <x v="8"/>
    <x v="8"/>
  </r>
  <r>
    <x v="16"/>
    <x v="113"/>
    <x v="3"/>
    <x v="34"/>
    <x v="34"/>
    <x v="0"/>
    <x v="8"/>
    <x v="8"/>
  </r>
  <r>
    <x v="16"/>
    <x v="114"/>
    <x v="0"/>
    <x v="42"/>
    <x v="42"/>
    <x v="0"/>
    <x v="1"/>
    <x v="1"/>
  </r>
  <r>
    <x v="16"/>
    <x v="114"/>
    <x v="0"/>
    <x v="4"/>
    <x v="4"/>
    <x v="8"/>
    <x v="3"/>
    <x v="81"/>
  </r>
  <r>
    <x v="16"/>
    <x v="114"/>
    <x v="0"/>
    <x v="6"/>
    <x v="6"/>
    <x v="3"/>
    <x v="5"/>
    <x v="86"/>
  </r>
  <r>
    <x v="16"/>
    <x v="114"/>
    <x v="0"/>
    <x v="21"/>
    <x v="21"/>
    <x v="0"/>
    <x v="14"/>
    <x v="17"/>
  </r>
  <r>
    <x v="16"/>
    <x v="114"/>
    <x v="0"/>
    <x v="7"/>
    <x v="7"/>
    <x v="6"/>
    <x v="6"/>
    <x v="50"/>
  </r>
  <r>
    <x v="16"/>
    <x v="114"/>
    <x v="0"/>
    <x v="82"/>
    <x v="82"/>
    <x v="0"/>
    <x v="23"/>
    <x v="36"/>
  </r>
  <r>
    <x v="16"/>
    <x v="114"/>
    <x v="1"/>
    <x v="125"/>
    <x v="126"/>
    <x v="0"/>
    <x v="8"/>
    <x v="8"/>
  </r>
  <r>
    <x v="16"/>
    <x v="114"/>
    <x v="2"/>
    <x v="24"/>
    <x v="24"/>
    <x v="3"/>
    <x v="16"/>
    <x v="74"/>
  </r>
  <r>
    <x v="16"/>
    <x v="114"/>
    <x v="2"/>
    <x v="19"/>
    <x v="19"/>
    <x v="5"/>
    <x v="12"/>
    <x v="48"/>
  </r>
  <r>
    <x v="16"/>
    <x v="114"/>
    <x v="4"/>
    <x v="83"/>
    <x v="83"/>
    <x v="0"/>
    <x v="0"/>
    <x v="0"/>
  </r>
  <r>
    <x v="16"/>
    <x v="114"/>
    <x v="4"/>
    <x v="35"/>
    <x v="35"/>
    <x v="0"/>
    <x v="17"/>
    <x v="24"/>
  </r>
  <r>
    <x v="16"/>
    <x v="114"/>
    <x v="3"/>
    <x v="11"/>
    <x v="11"/>
    <x v="2"/>
    <x v="8"/>
    <x v="29"/>
  </r>
  <r>
    <x v="16"/>
    <x v="114"/>
    <x v="3"/>
    <x v="60"/>
    <x v="60"/>
    <x v="1"/>
    <x v="8"/>
    <x v="21"/>
  </r>
  <r>
    <x v="16"/>
    <x v="114"/>
    <x v="3"/>
    <x v="89"/>
    <x v="89"/>
    <x v="0"/>
    <x v="31"/>
    <x v="21"/>
  </r>
  <r>
    <x v="16"/>
    <x v="114"/>
    <x v="3"/>
    <x v="14"/>
    <x v="14"/>
    <x v="5"/>
    <x v="8"/>
    <x v="1"/>
  </r>
  <r>
    <x v="16"/>
    <x v="114"/>
    <x v="3"/>
    <x v="30"/>
    <x v="30"/>
    <x v="7"/>
    <x v="8"/>
    <x v="24"/>
  </r>
  <r>
    <x v="16"/>
    <x v="114"/>
    <x v="3"/>
    <x v="31"/>
    <x v="31"/>
    <x v="0"/>
    <x v="10"/>
    <x v="11"/>
  </r>
  <r>
    <x v="16"/>
    <x v="114"/>
    <x v="3"/>
    <x v="33"/>
    <x v="33"/>
    <x v="0"/>
    <x v="8"/>
    <x v="8"/>
  </r>
  <r>
    <x v="16"/>
    <x v="114"/>
    <x v="3"/>
    <x v="15"/>
    <x v="15"/>
    <x v="0"/>
    <x v="8"/>
    <x v="8"/>
  </r>
  <r>
    <x v="16"/>
    <x v="114"/>
    <x v="3"/>
    <x v="34"/>
    <x v="34"/>
    <x v="0"/>
    <x v="8"/>
    <x v="8"/>
  </r>
  <r>
    <x v="16"/>
    <x v="114"/>
    <x v="3"/>
    <x v="53"/>
    <x v="53"/>
    <x v="0"/>
    <x v="8"/>
    <x v="8"/>
  </r>
  <r>
    <x v="16"/>
    <x v="114"/>
    <x v="3"/>
    <x v="77"/>
    <x v="77"/>
    <x v="0"/>
    <x v="8"/>
    <x v="8"/>
  </r>
  <r>
    <x v="17"/>
    <x v="115"/>
    <x v="0"/>
    <x v="0"/>
    <x v="0"/>
    <x v="0"/>
    <x v="0"/>
    <x v="0"/>
  </r>
  <r>
    <x v="17"/>
    <x v="115"/>
    <x v="0"/>
    <x v="1"/>
    <x v="1"/>
    <x v="0"/>
    <x v="1"/>
    <x v="1"/>
  </r>
  <r>
    <x v="17"/>
    <x v="115"/>
    <x v="2"/>
    <x v="18"/>
    <x v="18"/>
    <x v="0"/>
    <x v="11"/>
    <x v="12"/>
  </r>
  <r>
    <x v="17"/>
    <x v="115"/>
    <x v="2"/>
    <x v="19"/>
    <x v="19"/>
    <x v="2"/>
    <x v="12"/>
    <x v="9"/>
  </r>
  <r>
    <x v="17"/>
    <x v="116"/>
    <x v="0"/>
    <x v="126"/>
    <x v="127"/>
    <x v="0"/>
    <x v="35"/>
    <x v="87"/>
  </r>
  <r>
    <x v="17"/>
    <x v="116"/>
    <x v="0"/>
    <x v="4"/>
    <x v="4"/>
    <x v="2"/>
    <x v="3"/>
    <x v="15"/>
  </r>
  <r>
    <x v="17"/>
    <x v="116"/>
    <x v="0"/>
    <x v="6"/>
    <x v="6"/>
    <x v="5"/>
    <x v="5"/>
    <x v="47"/>
  </r>
  <r>
    <x v="17"/>
    <x v="116"/>
    <x v="0"/>
    <x v="21"/>
    <x v="21"/>
    <x v="0"/>
    <x v="14"/>
    <x v="17"/>
  </r>
  <r>
    <x v="17"/>
    <x v="116"/>
    <x v="0"/>
    <x v="7"/>
    <x v="7"/>
    <x v="2"/>
    <x v="6"/>
    <x v="6"/>
  </r>
  <r>
    <x v="17"/>
    <x v="116"/>
    <x v="2"/>
    <x v="24"/>
    <x v="24"/>
    <x v="7"/>
    <x v="16"/>
    <x v="26"/>
  </r>
  <r>
    <x v="17"/>
    <x v="116"/>
    <x v="3"/>
    <x v="11"/>
    <x v="11"/>
    <x v="4"/>
    <x v="8"/>
    <x v="10"/>
  </r>
  <r>
    <x v="17"/>
    <x v="116"/>
    <x v="3"/>
    <x v="60"/>
    <x v="60"/>
    <x v="0"/>
    <x v="8"/>
    <x v="8"/>
  </r>
  <r>
    <x v="17"/>
    <x v="116"/>
    <x v="3"/>
    <x v="28"/>
    <x v="28"/>
    <x v="1"/>
    <x v="8"/>
    <x v="21"/>
  </r>
  <r>
    <x v="17"/>
    <x v="116"/>
    <x v="3"/>
    <x v="52"/>
    <x v="52"/>
    <x v="0"/>
    <x v="8"/>
    <x v="8"/>
  </r>
  <r>
    <x v="17"/>
    <x v="116"/>
    <x v="3"/>
    <x v="14"/>
    <x v="14"/>
    <x v="0"/>
    <x v="8"/>
    <x v="8"/>
  </r>
  <r>
    <x v="17"/>
    <x v="116"/>
    <x v="3"/>
    <x v="69"/>
    <x v="69"/>
    <x v="0"/>
    <x v="8"/>
    <x v="8"/>
  </r>
  <r>
    <x v="17"/>
    <x v="116"/>
    <x v="3"/>
    <x v="53"/>
    <x v="53"/>
    <x v="0"/>
    <x v="8"/>
    <x v="8"/>
  </r>
  <r>
    <x v="17"/>
    <x v="117"/>
    <x v="0"/>
    <x v="42"/>
    <x v="42"/>
    <x v="0"/>
    <x v="1"/>
    <x v="1"/>
  </r>
  <r>
    <x v="17"/>
    <x v="118"/>
    <x v="0"/>
    <x v="4"/>
    <x v="4"/>
    <x v="5"/>
    <x v="3"/>
    <x v="46"/>
  </r>
  <r>
    <x v="17"/>
    <x v="118"/>
    <x v="0"/>
    <x v="6"/>
    <x v="6"/>
    <x v="1"/>
    <x v="5"/>
    <x v="5"/>
  </r>
  <r>
    <x v="17"/>
    <x v="118"/>
    <x v="0"/>
    <x v="21"/>
    <x v="21"/>
    <x v="0"/>
    <x v="14"/>
    <x v="17"/>
  </r>
  <r>
    <x v="17"/>
    <x v="118"/>
    <x v="0"/>
    <x v="7"/>
    <x v="7"/>
    <x v="2"/>
    <x v="6"/>
    <x v="6"/>
  </r>
  <r>
    <x v="17"/>
    <x v="118"/>
    <x v="1"/>
    <x v="8"/>
    <x v="8"/>
    <x v="1"/>
    <x v="7"/>
    <x v="70"/>
  </r>
  <r>
    <x v="17"/>
    <x v="118"/>
    <x v="1"/>
    <x v="17"/>
    <x v="17"/>
    <x v="0"/>
    <x v="10"/>
    <x v="11"/>
  </r>
  <r>
    <x v="17"/>
    <x v="118"/>
    <x v="3"/>
    <x v="127"/>
    <x v="128"/>
    <x v="0"/>
    <x v="8"/>
    <x v="8"/>
  </r>
  <r>
    <x v="17"/>
    <x v="118"/>
    <x v="3"/>
    <x v="13"/>
    <x v="13"/>
    <x v="0"/>
    <x v="8"/>
    <x v="8"/>
  </r>
  <r>
    <x v="17"/>
    <x v="118"/>
    <x v="3"/>
    <x v="31"/>
    <x v="31"/>
    <x v="0"/>
    <x v="10"/>
    <x v="11"/>
  </r>
  <r>
    <x v="17"/>
    <x v="118"/>
    <x v="3"/>
    <x v="34"/>
    <x v="34"/>
    <x v="5"/>
    <x v="8"/>
    <x v="1"/>
  </r>
  <r>
    <x v="17"/>
    <x v="119"/>
    <x v="0"/>
    <x v="0"/>
    <x v="0"/>
    <x v="0"/>
    <x v="0"/>
    <x v="0"/>
  </r>
  <r>
    <x v="17"/>
    <x v="119"/>
    <x v="3"/>
    <x v="128"/>
    <x v="129"/>
    <x v="0"/>
    <x v="8"/>
    <x v="8"/>
  </r>
  <r>
    <x v="17"/>
    <x v="119"/>
    <x v="3"/>
    <x v="129"/>
    <x v="130"/>
    <x v="0"/>
    <x v="10"/>
    <x v="11"/>
  </r>
  <r>
    <x v="17"/>
    <x v="120"/>
    <x v="0"/>
    <x v="4"/>
    <x v="4"/>
    <x v="1"/>
    <x v="3"/>
    <x v="3"/>
  </r>
  <r>
    <x v="17"/>
    <x v="120"/>
    <x v="0"/>
    <x v="6"/>
    <x v="6"/>
    <x v="0"/>
    <x v="5"/>
    <x v="16"/>
  </r>
  <r>
    <x v="17"/>
    <x v="120"/>
    <x v="0"/>
    <x v="7"/>
    <x v="7"/>
    <x v="0"/>
    <x v="6"/>
    <x v="45"/>
  </r>
  <r>
    <x v="17"/>
    <x v="120"/>
    <x v="1"/>
    <x v="66"/>
    <x v="66"/>
    <x v="0"/>
    <x v="8"/>
    <x v="8"/>
  </r>
  <r>
    <x v="17"/>
    <x v="120"/>
    <x v="2"/>
    <x v="24"/>
    <x v="24"/>
    <x v="12"/>
    <x v="16"/>
    <x v="88"/>
  </r>
  <r>
    <x v="17"/>
    <x v="120"/>
    <x v="2"/>
    <x v="18"/>
    <x v="18"/>
    <x v="0"/>
    <x v="11"/>
    <x v="12"/>
  </r>
  <r>
    <x v="17"/>
    <x v="120"/>
    <x v="2"/>
    <x v="40"/>
    <x v="40"/>
    <x v="7"/>
    <x v="16"/>
    <x v="26"/>
  </r>
  <r>
    <x v="17"/>
    <x v="120"/>
    <x v="2"/>
    <x v="19"/>
    <x v="19"/>
    <x v="5"/>
    <x v="12"/>
    <x v="48"/>
  </r>
  <r>
    <x v="17"/>
    <x v="120"/>
    <x v="4"/>
    <x v="83"/>
    <x v="83"/>
    <x v="0"/>
    <x v="0"/>
    <x v="0"/>
  </r>
  <r>
    <x v="17"/>
    <x v="120"/>
    <x v="3"/>
    <x v="62"/>
    <x v="62"/>
    <x v="0"/>
    <x v="8"/>
    <x v="8"/>
  </r>
  <r>
    <x v="17"/>
    <x v="121"/>
    <x v="4"/>
    <x v="35"/>
    <x v="35"/>
    <x v="0"/>
    <x v="17"/>
    <x v="24"/>
  </r>
  <r>
    <x v="17"/>
    <x v="121"/>
    <x v="3"/>
    <x v="130"/>
    <x v="131"/>
    <x v="0"/>
    <x v="36"/>
    <x v="89"/>
  </r>
  <r>
    <x v="17"/>
    <x v="122"/>
    <x v="0"/>
    <x v="4"/>
    <x v="4"/>
    <x v="2"/>
    <x v="3"/>
    <x v="15"/>
  </r>
  <r>
    <x v="17"/>
    <x v="122"/>
    <x v="0"/>
    <x v="6"/>
    <x v="6"/>
    <x v="7"/>
    <x v="5"/>
    <x v="37"/>
  </r>
  <r>
    <x v="17"/>
    <x v="122"/>
    <x v="0"/>
    <x v="7"/>
    <x v="7"/>
    <x v="9"/>
    <x v="6"/>
    <x v="62"/>
  </r>
  <r>
    <x v="17"/>
    <x v="122"/>
    <x v="4"/>
    <x v="83"/>
    <x v="83"/>
    <x v="0"/>
    <x v="0"/>
    <x v="0"/>
  </r>
  <r>
    <x v="17"/>
    <x v="122"/>
    <x v="4"/>
    <x v="59"/>
    <x v="59"/>
    <x v="0"/>
    <x v="18"/>
    <x v="27"/>
  </r>
  <r>
    <x v="17"/>
    <x v="122"/>
    <x v="4"/>
    <x v="92"/>
    <x v="92"/>
    <x v="0"/>
    <x v="29"/>
    <x v="64"/>
  </r>
  <r>
    <x v="17"/>
    <x v="122"/>
    <x v="3"/>
    <x v="27"/>
    <x v="27"/>
    <x v="0"/>
    <x v="8"/>
    <x v="8"/>
  </r>
  <r>
    <x v="17"/>
    <x v="122"/>
    <x v="3"/>
    <x v="13"/>
    <x v="13"/>
    <x v="1"/>
    <x v="8"/>
    <x v="21"/>
  </r>
  <r>
    <x v="17"/>
    <x v="122"/>
    <x v="3"/>
    <x v="14"/>
    <x v="14"/>
    <x v="5"/>
    <x v="8"/>
    <x v="1"/>
  </r>
  <r>
    <x v="17"/>
    <x v="122"/>
    <x v="3"/>
    <x v="30"/>
    <x v="30"/>
    <x v="0"/>
    <x v="8"/>
    <x v="8"/>
  </r>
  <r>
    <x v="17"/>
    <x v="122"/>
    <x v="3"/>
    <x v="31"/>
    <x v="31"/>
    <x v="1"/>
    <x v="10"/>
    <x v="28"/>
  </r>
  <r>
    <x v="17"/>
    <x v="122"/>
    <x v="3"/>
    <x v="15"/>
    <x v="15"/>
    <x v="0"/>
    <x v="8"/>
    <x v="8"/>
  </r>
  <r>
    <x v="17"/>
    <x v="122"/>
    <x v="3"/>
    <x v="34"/>
    <x v="34"/>
    <x v="0"/>
    <x v="8"/>
    <x v="8"/>
  </r>
  <r>
    <x v="17"/>
    <x v="123"/>
    <x v="0"/>
    <x v="1"/>
    <x v="1"/>
    <x v="0"/>
    <x v="1"/>
    <x v="1"/>
  </r>
  <r>
    <x v="17"/>
    <x v="123"/>
    <x v="0"/>
    <x v="4"/>
    <x v="4"/>
    <x v="7"/>
    <x v="3"/>
    <x v="39"/>
  </r>
  <r>
    <x v="17"/>
    <x v="123"/>
    <x v="0"/>
    <x v="5"/>
    <x v="5"/>
    <x v="0"/>
    <x v="4"/>
    <x v="4"/>
  </r>
  <r>
    <x v="17"/>
    <x v="123"/>
    <x v="0"/>
    <x v="6"/>
    <x v="6"/>
    <x v="2"/>
    <x v="5"/>
    <x v="52"/>
  </r>
  <r>
    <x v="17"/>
    <x v="123"/>
    <x v="0"/>
    <x v="7"/>
    <x v="7"/>
    <x v="5"/>
    <x v="6"/>
    <x v="18"/>
  </r>
  <r>
    <x v="17"/>
    <x v="123"/>
    <x v="0"/>
    <x v="39"/>
    <x v="39"/>
    <x v="0"/>
    <x v="17"/>
    <x v="24"/>
  </r>
  <r>
    <x v="17"/>
    <x v="123"/>
    <x v="2"/>
    <x v="19"/>
    <x v="19"/>
    <x v="5"/>
    <x v="12"/>
    <x v="48"/>
  </r>
  <r>
    <x v="17"/>
    <x v="123"/>
    <x v="4"/>
    <x v="83"/>
    <x v="83"/>
    <x v="0"/>
    <x v="0"/>
    <x v="0"/>
  </r>
  <r>
    <x v="17"/>
    <x v="123"/>
    <x v="3"/>
    <x v="11"/>
    <x v="11"/>
    <x v="5"/>
    <x v="8"/>
    <x v="1"/>
  </r>
  <r>
    <x v="17"/>
    <x v="123"/>
    <x v="3"/>
    <x v="12"/>
    <x v="12"/>
    <x v="0"/>
    <x v="8"/>
    <x v="8"/>
  </r>
  <r>
    <x v="17"/>
    <x v="123"/>
    <x v="3"/>
    <x v="61"/>
    <x v="61"/>
    <x v="0"/>
    <x v="8"/>
    <x v="8"/>
  </r>
  <r>
    <x v="17"/>
    <x v="123"/>
    <x v="3"/>
    <x v="27"/>
    <x v="27"/>
    <x v="0"/>
    <x v="8"/>
    <x v="8"/>
  </r>
  <r>
    <x v="17"/>
    <x v="123"/>
    <x v="3"/>
    <x v="14"/>
    <x v="14"/>
    <x v="0"/>
    <x v="8"/>
    <x v="8"/>
  </r>
  <r>
    <x v="17"/>
    <x v="123"/>
    <x v="3"/>
    <x v="30"/>
    <x v="30"/>
    <x v="0"/>
    <x v="8"/>
    <x v="8"/>
  </r>
  <r>
    <x v="17"/>
    <x v="123"/>
    <x v="3"/>
    <x v="34"/>
    <x v="34"/>
    <x v="0"/>
    <x v="8"/>
    <x v="8"/>
  </r>
  <r>
    <x v="17"/>
    <x v="123"/>
    <x v="3"/>
    <x v="53"/>
    <x v="53"/>
    <x v="0"/>
    <x v="8"/>
    <x v="8"/>
  </r>
  <r>
    <x v="18"/>
    <x v="124"/>
    <x v="0"/>
    <x v="0"/>
    <x v="0"/>
    <x v="0"/>
    <x v="0"/>
    <x v="0"/>
  </r>
  <r>
    <x v="18"/>
    <x v="124"/>
    <x v="0"/>
    <x v="42"/>
    <x v="42"/>
    <x v="0"/>
    <x v="1"/>
    <x v="1"/>
  </r>
  <r>
    <x v="18"/>
    <x v="124"/>
    <x v="0"/>
    <x v="4"/>
    <x v="4"/>
    <x v="0"/>
    <x v="3"/>
    <x v="22"/>
  </r>
  <r>
    <x v="18"/>
    <x v="124"/>
    <x v="0"/>
    <x v="6"/>
    <x v="6"/>
    <x v="5"/>
    <x v="5"/>
    <x v="47"/>
  </r>
  <r>
    <x v="18"/>
    <x v="124"/>
    <x v="0"/>
    <x v="7"/>
    <x v="7"/>
    <x v="7"/>
    <x v="6"/>
    <x v="38"/>
  </r>
  <r>
    <x v="18"/>
    <x v="124"/>
    <x v="2"/>
    <x v="10"/>
    <x v="10"/>
    <x v="3"/>
    <x v="9"/>
    <x v="9"/>
  </r>
  <r>
    <x v="18"/>
    <x v="124"/>
    <x v="3"/>
    <x v="11"/>
    <x v="11"/>
    <x v="5"/>
    <x v="8"/>
    <x v="1"/>
  </r>
  <r>
    <x v="18"/>
    <x v="124"/>
    <x v="3"/>
    <x v="89"/>
    <x v="89"/>
    <x v="0"/>
    <x v="31"/>
    <x v="21"/>
  </r>
  <r>
    <x v="18"/>
    <x v="124"/>
    <x v="3"/>
    <x v="14"/>
    <x v="14"/>
    <x v="0"/>
    <x v="8"/>
    <x v="8"/>
  </r>
  <r>
    <x v="18"/>
    <x v="124"/>
    <x v="3"/>
    <x v="30"/>
    <x v="30"/>
    <x v="0"/>
    <x v="8"/>
    <x v="8"/>
  </r>
  <r>
    <x v="18"/>
    <x v="125"/>
    <x v="0"/>
    <x v="4"/>
    <x v="4"/>
    <x v="5"/>
    <x v="3"/>
    <x v="46"/>
  </r>
  <r>
    <x v="18"/>
    <x v="125"/>
    <x v="0"/>
    <x v="6"/>
    <x v="6"/>
    <x v="5"/>
    <x v="5"/>
    <x v="47"/>
  </r>
  <r>
    <x v="18"/>
    <x v="125"/>
    <x v="0"/>
    <x v="7"/>
    <x v="7"/>
    <x v="1"/>
    <x v="6"/>
    <x v="23"/>
  </r>
  <r>
    <x v="18"/>
    <x v="125"/>
    <x v="2"/>
    <x v="18"/>
    <x v="18"/>
    <x v="1"/>
    <x v="11"/>
    <x v="61"/>
  </r>
  <r>
    <x v="18"/>
    <x v="125"/>
    <x v="2"/>
    <x v="19"/>
    <x v="19"/>
    <x v="5"/>
    <x v="12"/>
    <x v="48"/>
  </r>
  <r>
    <x v="18"/>
    <x v="125"/>
    <x v="2"/>
    <x v="55"/>
    <x v="55"/>
    <x v="0"/>
    <x v="9"/>
    <x v="41"/>
  </r>
  <r>
    <x v="18"/>
    <x v="125"/>
    <x v="3"/>
    <x v="11"/>
    <x v="11"/>
    <x v="9"/>
    <x v="8"/>
    <x v="40"/>
  </r>
  <r>
    <x v="18"/>
    <x v="125"/>
    <x v="3"/>
    <x v="27"/>
    <x v="27"/>
    <x v="0"/>
    <x v="8"/>
    <x v="8"/>
  </r>
  <r>
    <x v="18"/>
    <x v="125"/>
    <x v="3"/>
    <x v="28"/>
    <x v="28"/>
    <x v="0"/>
    <x v="8"/>
    <x v="8"/>
  </r>
  <r>
    <x v="18"/>
    <x v="125"/>
    <x v="3"/>
    <x v="13"/>
    <x v="13"/>
    <x v="0"/>
    <x v="8"/>
    <x v="8"/>
  </r>
  <r>
    <x v="18"/>
    <x v="125"/>
    <x v="3"/>
    <x v="14"/>
    <x v="14"/>
    <x v="0"/>
    <x v="8"/>
    <x v="8"/>
  </r>
  <r>
    <x v="18"/>
    <x v="125"/>
    <x v="3"/>
    <x v="30"/>
    <x v="30"/>
    <x v="0"/>
    <x v="8"/>
    <x v="8"/>
  </r>
  <r>
    <x v="18"/>
    <x v="125"/>
    <x v="3"/>
    <x v="15"/>
    <x v="15"/>
    <x v="0"/>
    <x v="8"/>
    <x v="8"/>
  </r>
  <r>
    <x v="18"/>
    <x v="125"/>
    <x v="3"/>
    <x v="34"/>
    <x v="34"/>
    <x v="0"/>
    <x v="8"/>
    <x v="8"/>
  </r>
  <r>
    <x v="18"/>
    <x v="126"/>
    <x v="1"/>
    <x v="66"/>
    <x v="66"/>
    <x v="0"/>
    <x v="8"/>
    <x v="8"/>
  </r>
  <r>
    <x v="18"/>
    <x v="127"/>
    <x v="0"/>
    <x v="50"/>
    <x v="50"/>
    <x v="0"/>
    <x v="22"/>
    <x v="35"/>
  </r>
  <r>
    <x v="18"/>
    <x v="127"/>
    <x v="0"/>
    <x v="4"/>
    <x v="4"/>
    <x v="1"/>
    <x v="3"/>
    <x v="3"/>
  </r>
  <r>
    <x v="18"/>
    <x v="127"/>
    <x v="0"/>
    <x v="6"/>
    <x v="6"/>
    <x v="2"/>
    <x v="5"/>
    <x v="52"/>
  </r>
  <r>
    <x v="18"/>
    <x v="127"/>
    <x v="0"/>
    <x v="7"/>
    <x v="7"/>
    <x v="3"/>
    <x v="6"/>
    <x v="69"/>
  </r>
  <r>
    <x v="18"/>
    <x v="127"/>
    <x v="0"/>
    <x v="39"/>
    <x v="39"/>
    <x v="1"/>
    <x v="17"/>
    <x v="40"/>
  </r>
  <r>
    <x v="18"/>
    <x v="127"/>
    <x v="4"/>
    <x v="35"/>
    <x v="35"/>
    <x v="0"/>
    <x v="17"/>
    <x v="24"/>
  </r>
  <r>
    <x v="18"/>
    <x v="127"/>
    <x v="4"/>
    <x v="59"/>
    <x v="59"/>
    <x v="0"/>
    <x v="18"/>
    <x v="27"/>
  </r>
  <r>
    <x v="18"/>
    <x v="128"/>
    <x v="0"/>
    <x v="4"/>
    <x v="4"/>
    <x v="7"/>
    <x v="3"/>
    <x v="39"/>
  </r>
  <r>
    <x v="18"/>
    <x v="128"/>
    <x v="0"/>
    <x v="6"/>
    <x v="6"/>
    <x v="1"/>
    <x v="5"/>
    <x v="5"/>
  </r>
  <r>
    <x v="18"/>
    <x v="128"/>
    <x v="0"/>
    <x v="7"/>
    <x v="7"/>
    <x v="7"/>
    <x v="6"/>
    <x v="38"/>
  </r>
  <r>
    <x v="18"/>
    <x v="128"/>
    <x v="1"/>
    <x v="63"/>
    <x v="63"/>
    <x v="0"/>
    <x v="8"/>
    <x v="8"/>
  </r>
  <r>
    <x v="18"/>
    <x v="128"/>
    <x v="1"/>
    <x v="71"/>
    <x v="71"/>
    <x v="0"/>
    <x v="8"/>
    <x v="8"/>
  </r>
  <r>
    <x v="18"/>
    <x v="128"/>
    <x v="2"/>
    <x v="24"/>
    <x v="24"/>
    <x v="18"/>
    <x v="16"/>
    <x v="90"/>
  </r>
  <r>
    <x v="18"/>
    <x v="128"/>
    <x v="2"/>
    <x v="18"/>
    <x v="18"/>
    <x v="0"/>
    <x v="11"/>
    <x v="12"/>
  </r>
  <r>
    <x v="18"/>
    <x v="128"/>
    <x v="2"/>
    <x v="40"/>
    <x v="40"/>
    <x v="3"/>
    <x v="16"/>
    <x v="74"/>
  </r>
  <r>
    <x v="18"/>
    <x v="128"/>
    <x v="2"/>
    <x v="19"/>
    <x v="19"/>
    <x v="5"/>
    <x v="12"/>
    <x v="48"/>
  </r>
  <r>
    <x v="18"/>
    <x v="128"/>
    <x v="4"/>
    <x v="67"/>
    <x v="67"/>
    <x v="0"/>
    <x v="17"/>
    <x v="24"/>
  </r>
  <r>
    <x v="18"/>
    <x v="128"/>
    <x v="4"/>
    <x v="41"/>
    <x v="41"/>
    <x v="0"/>
    <x v="18"/>
    <x v="27"/>
  </r>
  <r>
    <x v="18"/>
    <x v="128"/>
    <x v="3"/>
    <x v="11"/>
    <x v="11"/>
    <x v="0"/>
    <x v="8"/>
    <x v="8"/>
  </r>
  <r>
    <x v="18"/>
    <x v="128"/>
    <x v="3"/>
    <x v="12"/>
    <x v="12"/>
    <x v="0"/>
    <x v="8"/>
    <x v="8"/>
  </r>
  <r>
    <x v="18"/>
    <x v="128"/>
    <x v="3"/>
    <x v="88"/>
    <x v="88"/>
    <x v="0"/>
    <x v="8"/>
    <x v="8"/>
  </r>
  <r>
    <x v="18"/>
    <x v="128"/>
    <x v="3"/>
    <x v="89"/>
    <x v="89"/>
    <x v="0"/>
    <x v="31"/>
    <x v="21"/>
  </r>
  <r>
    <x v="18"/>
    <x v="128"/>
    <x v="3"/>
    <x v="27"/>
    <x v="27"/>
    <x v="1"/>
    <x v="8"/>
    <x v="21"/>
  </r>
  <r>
    <x v="18"/>
    <x v="128"/>
    <x v="3"/>
    <x v="13"/>
    <x v="13"/>
    <x v="0"/>
    <x v="8"/>
    <x v="8"/>
  </r>
  <r>
    <x v="18"/>
    <x v="128"/>
    <x v="3"/>
    <x v="52"/>
    <x v="52"/>
    <x v="0"/>
    <x v="8"/>
    <x v="8"/>
  </r>
  <r>
    <x v="18"/>
    <x v="128"/>
    <x v="3"/>
    <x v="29"/>
    <x v="29"/>
    <x v="0"/>
    <x v="8"/>
    <x v="8"/>
  </r>
  <r>
    <x v="18"/>
    <x v="128"/>
    <x v="3"/>
    <x v="14"/>
    <x v="14"/>
    <x v="0"/>
    <x v="8"/>
    <x v="8"/>
  </r>
  <r>
    <x v="18"/>
    <x v="128"/>
    <x v="3"/>
    <x v="69"/>
    <x v="69"/>
    <x v="0"/>
    <x v="8"/>
    <x v="8"/>
  </r>
  <r>
    <x v="18"/>
    <x v="128"/>
    <x v="3"/>
    <x v="30"/>
    <x v="30"/>
    <x v="1"/>
    <x v="8"/>
    <x v="21"/>
  </r>
  <r>
    <x v="18"/>
    <x v="128"/>
    <x v="3"/>
    <x v="34"/>
    <x v="34"/>
    <x v="5"/>
    <x v="8"/>
    <x v="1"/>
  </r>
  <r>
    <x v="18"/>
    <x v="128"/>
    <x v="3"/>
    <x v="53"/>
    <x v="53"/>
    <x v="0"/>
    <x v="8"/>
    <x v="8"/>
  </r>
  <r>
    <x v="18"/>
    <x v="129"/>
    <x v="0"/>
    <x v="42"/>
    <x v="42"/>
    <x v="0"/>
    <x v="1"/>
    <x v="1"/>
  </r>
  <r>
    <x v="18"/>
    <x v="129"/>
    <x v="0"/>
    <x v="4"/>
    <x v="4"/>
    <x v="7"/>
    <x v="3"/>
    <x v="39"/>
  </r>
  <r>
    <x v="18"/>
    <x v="129"/>
    <x v="0"/>
    <x v="6"/>
    <x v="6"/>
    <x v="0"/>
    <x v="5"/>
    <x v="16"/>
  </r>
  <r>
    <x v="18"/>
    <x v="129"/>
    <x v="0"/>
    <x v="7"/>
    <x v="7"/>
    <x v="3"/>
    <x v="6"/>
    <x v="69"/>
  </r>
  <r>
    <x v="18"/>
    <x v="129"/>
    <x v="0"/>
    <x v="39"/>
    <x v="39"/>
    <x v="1"/>
    <x v="17"/>
    <x v="40"/>
  </r>
  <r>
    <x v="18"/>
    <x v="129"/>
    <x v="2"/>
    <x v="19"/>
    <x v="19"/>
    <x v="1"/>
    <x v="12"/>
    <x v="25"/>
  </r>
  <r>
    <x v="18"/>
    <x v="129"/>
    <x v="3"/>
    <x v="11"/>
    <x v="11"/>
    <x v="2"/>
    <x v="8"/>
    <x v="29"/>
  </r>
  <r>
    <x v="18"/>
    <x v="129"/>
    <x v="3"/>
    <x v="12"/>
    <x v="12"/>
    <x v="0"/>
    <x v="8"/>
    <x v="8"/>
  </r>
  <r>
    <x v="18"/>
    <x v="129"/>
    <x v="3"/>
    <x v="27"/>
    <x v="27"/>
    <x v="0"/>
    <x v="8"/>
    <x v="8"/>
  </r>
  <r>
    <x v="18"/>
    <x v="129"/>
    <x v="3"/>
    <x v="28"/>
    <x v="28"/>
    <x v="0"/>
    <x v="8"/>
    <x v="8"/>
  </r>
  <r>
    <x v="18"/>
    <x v="129"/>
    <x v="3"/>
    <x v="13"/>
    <x v="13"/>
    <x v="1"/>
    <x v="8"/>
    <x v="21"/>
  </r>
  <r>
    <x v="18"/>
    <x v="129"/>
    <x v="3"/>
    <x v="14"/>
    <x v="14"/>
    <x v="0"/>
    <x v="8"/>
    <x v="8"/>
  </r>
  <r>
    <x v="18"/>
    <x v="129"/>
    <x v="3"/>
    <x v="34"/>
    <x v="34"/>
    <x v="0"/>
    <x v="8"/>
    <x v="8"/>
  </r>
  <r>
    <x v="18"/>
    <x v="129"/>
    <x v="3"/>
    <x v="53"/>
    <x v="53"/>
    <x v="0"/>
    <x v="8"/>
    <x v="8"/>
  </r>
  <r>
    <x v="19"/>
    <x v="130"/>
    <x v="0"/>
    <x v="0"/>
    <x v="0"/>
    <x v="0"/>
    <x v="0"/>
    <x v="0"/>
  </r>
  <r>
    <x v="19"/>
    <x v="130"/>
    <x v="0"/>
    <x v="131"/>
    <x v="132"/>
    <x v="0"/>
    <x v="1"/>
    <x v="1"/>
  </r>
  <r>
    <x v="19"/>
    <x v="130"/>
    <x v="0"/>
    <x v="4"/>
    <x v="4"/>
    <x v="7"/>
    <x v="3"/>
    <x v="39"/>
  </r>
  <r>
    <x v="19"/>
    <x v="130"/>
    <x v="0"/>
    <x v="6"/>
    <x v="6"/>
    <x v="0"/>
    <x v="5"/>
    <x v="16"/>
  </r>
  <r>
    <x v="19"/>
    <x v="130"/>
    <x v="0"/>
    <x v="7"/>
    <x v="7"/>
    <x v="0"/>
    <x v="6"/>
    <x v="45"/>
  </r>
  <r>
    <x v="19"/>
    <x v="130"/>
    <x v="2"/>
    <x v="18"/>
    <x v="18"/>
    <x v="1"/>
    <x v="11"/>
    <x v="61"/>
  </r>
  <r>
    <x v="19"/>
    <x v="130"/>
    <x v="2"/>
    <x v="10"/>
    <x v="10"/>
    <x v="3"/>
    <x v="9"/>
    <x v="9"/>
  </r>
  <r>
    <x v="19"/>
    <x v="130"/>
    <x v="2"/>
    <x v="19"/>
    <x v="19"/>
    <x v="5"/>
    <x v="12"/>
    <x v="48"/>
  </r>
  <r>
    <x v="19"/>
    <x v="130"/>
    <x v="3"/>
    <x v="11"/>
    <x v="11"/>
    <x v="6"/>
    <x v="8"/>
    <x v="58"/>
  </r>
  <r>
    <x v="19"/>
    <x v="130"/>
    <x v="3"/>
    <x v="28"/>
    <x v="28"/>
    <x v="1"/>
    <x v="8"/>
    <x v="21"/>
  </r>
  <r>
    <x v="19"/>
    <x v="130"/>
    <x v="3"/>
    <x v="33"/>
    <x v="33"/>
    <x v="0"/>
    <x v="8"/>
    <x v="8"/>
  </r>
  <r>
    <x v="19"/>
    <x v="131"/>
    <x v="0"/>
    <x v="42"/>
    <x v="42"/>
    <x v="0"/>
    <x v="1"/>
    <x v="1"/>
  </r>
  <r>
    <x v="19"/>
    <x v="132"/>
    <x v="0"/>
    <x v="86"/>
    <x v="86"/>
    <x v="0"/>
    <x v="17"/>
    <x v="24"/>
  </r>
  <r>
    <x v="19"/>
    <x v="132"/>
    <x v="0"/>
    <x v="4"/>
    <x v="4"/>
    <x v="5"/>
    <x v="3"/>
    <x v="46"/>
  </r>
  <r>
    <x v="19"/>
    <x v="132"/>
    <x v="0"/>
    <x v="5"/>
    <x v="5"/>
    <x v="0"/>
    <x v="4"/>
    <x v="4"/>
  </r>
  <r>
    <x v="19"/>
    <x v="132"/>
    <x v="0"/>
    <x v="6"/>
    <x v="6"/>
    <x v="1"/>
    <x v="5"/>
    <x v="5"/>
  </r>
  <r>
    <x v="19"/>
    <x v="132"/>
    <x v="0"/>
    <x v="7"/>
    <x v="7"/>
    <x v="0"/>
    <x v="6"/>
    <x v="45"/>
  </r>
  <r>
    <x v="19"/>
    <x v="132"/>
    <x v="1"/>
    <x v="8"/>
    <x v="8"/>
    <x v="0"/>
    <x v="7"/>
    <x v="7"/>
  </r>
  <r>
    <x v="19"/>
    <x v="132"/>
    <x v="3"/>
    <x v="11"/>
    <x v="11"/>
    <x v="5"/>
    <x v="8"/>
    <x v="1"/>
  </r>
  <r>
    <x v="19"/>
    <x v="132"/>
    <x v="3"/>
    <x v="88"/>
    <x v="88"/>
    <x v="0"/>
    <x v="8"/>
    <x v="8"/>
  </r>
  <r>
    <x v="19"/>
    <x v="132"/>
    <x v="3"/>
    <x v="128"/>
    <x v="129"/>
    <x v="0"/>
    <x v="8"/>
    <x v="8"/>
  </r>
  <r>
    <x v="19"/>
    <x v="132"/>
    <x v="3"/>
    <x v="89"/>
    <x v="89"/>
    <x v="0"/>
    <x v="31"/>
    <x v="21"/>
  </r>
  <r>
    <x v="19"/>
    <x v="132"/>
    <x v="3"/>
    <x v="28"/>
    <x v="28"/>
    <x v="0"/>
    <x v="8"/>
    <x v="8"/>
  </r>
  <r>
    <x v="19"/>
    <x v="132"/>
    <x v="3"/>
    <x v="13"/>
    <x v="13"/>
    <x v="0"/>
    <x v="8"/>
    <x v="8"/>
  </r>
  <r>
    <x v="19"/>
    <x v="132"/>
    <x v="3"/>
    <x v="14"/>
    <x v="14"/>
    <x v="0"/>
    <x v="8"/>
    <x v="8"/>
  </r>
  <r>
    <x v="19"/>
    <x v="132"/>
    <x v="3"/>
    <x v="30"/>
    <x v="30"/>
    <x v="1"/>
    <x v="8"/>
    <x v="21"/>
  </r>
  <r>
    <x v="19"/>
    <x v="132"/>
    <x v="3"/>
    <x v="33"/>
    <x v="33"/>
    <x v="0"/>
    <x v="8"/>
    <x v="8"/>
  </r>
  <r>
    <x v="19"/>
    <x v="132"/>
    <x v="3"/>
    <x v="34"/>
    <x v="34"/>
    <x v="1"/>
    <x v="8"/>
    <x v="21"/>
  </r>
  <r>
    <x v="19"/>
    <x v="133"/>
    <x v="0"/>
    <x v="1"/>
    <x v="1"/>
    <x v="0"/>
    <x v="1"/>
    <x v="1"/>
  </r>
  <r>
    <x v="19"/>
    <x v="133"/>
    <x v="0"/>
    <x v="4"/>
    <x v="4"/>
    <x v="5"/>
    <x v="3"/>
    <x v="46"/>
  </r>
  <r>
    <x v="19"/>
    <x v="133"/>
    <x v="0"/>
    <x v="43"/>
    <x v="94"/>
    <x v="0"/>
    <x v="19"/>
    <x v="28"/>
  </r>
  <r>
    <x v="19"/>
    <x v="133"/>
    <x v="0"/>
    <x v="6"/>
    <x v="6"/>
    <x v="0"/>
    <x v="5"/>
    <x v="16"/>
  </r>
  <r>
    <x v="19"/>
    <x v="133"/>
    <x v="0"/>
    <x v="7"/>
    <x v="7"/>
    <x v="7"/>
    <x v="6"/>
    <x v="38"/>
  </r>
  <r>
    <x v="19"/>
    <x v="134"/>
    <x v="0"/>
    <x v="3"/>
    <x v="3"/>
    <x v="0"/>
    <x v="1"/>
    <x v="1"/>
  </r>
  <r>
    <x v="19"/>
    <x v="134"/>
    <x v="0"/>
    <x v="4"/>
    <x v="4"/>
    <x v="0"/>
    <x v="3"/>
    <x v="22"/>
  </r>
  <r>
    <x v="19"/>
    <x v="134"/>
    <x v="0"/>
    <x v="6"/>
    <x v="6"/>
    <x v="5"/>
    <x v="5"/>
    <x v="47"/>
  </r>
  <r>
    <x v="19"/>
    <x v="134"/>
    <x v="0"/>
    <x v="7"/>
    <x v="7"/>
    <x v="5"/>
    <x v="6"/>
    <x v="18"/>
  </r>
  <r>
    <x v="19"/>
    <x v="134"/>
    <x v="0"/>
    <x v="37"/>
    <x v="37"/>
    <x v="0"/>
    <x v="14"/>
    <x v="17"/>
  </r>
  <r>
    <x v="19"/>
    <x v="134"/>
    <x v="1"/>
    <x v="132"/>
    <x v="133"/>
    <x v="0"/>
    <x v="7"/>
    <x v="7"/>
  </r>
  <r>
    <x v="19"/>
    <x v="134"/>
    <x v="1"/>
    <x v="57"/>
    <x v="57"/>
    <x v="1"/>
    <x v="7"/>
    <x v="70"/>
  </r>
  <r>
    <x v="19"/>
    <x v="134"/>
    <x v="2"/>
    <x v="24"/>
    <x v="24"/>
    <x v="9"/>
    <x v="16"/>
    <x v="91"/>
  </r>
  <r>
    <x v="19"/>
    <x v="134"/>
    <x v="2"/>
    <x v="40"/>
    <x v="40"/>
    <x v="14"/>
    <x v="16"/>
    <x v="77"/>
  </r>
  <r>
    <x v="19"/>
    <x v="134"/>
    <x v="2"/>
    <x v="19"/>
    <x v="19"/>
    <x v="1"/>
    <x v="12"/>
    <x v="25"/>
  </r>
  <r>
    <x v="19"/>
    <x v="134"/>
    <x v="2"/>
    <x v="20"/>
    <x v="20"/>
    <x v="1"/>
    <x v="13"/>
    <x v="7"/>
  </r>
  <r>
    <x v="19"/>
    <x v="134"/>
    <x v="3"/>
    <x v="25"/>
    <x v="25"/>
    <x v="0"/>
    <x v="8"/>
    <x v="8"/>
  </r>
  <r>
    <x v="19"/>
    <x v="134"/>
    <x v="3"/>
    <x v="12"/>
    <x v="12"/>
    <x v="1"/>
    <x v="8"/>
    <x v="21"/>
  </r>
  <r>
    <x v="19"/>
    <x v="134"/>
    <x v="3"/>
    <x v="61"/>
    <x v="61"/>
    <x v="0"/>
    <x v="8"/>
    <x v="8"/>
  </r>
  <r>
    <x v="19"/>
    <x v="134"/>
    <x v="3"/>
    <x v="89"/>
    <x v="89"/>
    <x v="0"/>
    <x v="31"/>
    <x v="21"/>
  </r>
  <r>
    <x v="19"/>
    <x v="134"/>
    <x v="3"/>
    <x v="14"/>
    <x v="14"/>
    <x v="5"/>
    <x v="8"/>
    <x v="1"/>
  </r>
  <r>
    <x v="19"/>
    <x v="134"/>
    <x v="3"/>
    <x v="31"/>
    <x v="31"/>
    <x v="0"/>
    <x v="10"/>
    <x v="11"/>
  </r>
  <r>
    <x v="19"/>
    <x v="134"/>
    <x v="3"/>
    <x v="53"/>
    <x v="53"/>
    <x v="0"/>
    <x v="8"/>
    <x v="8"/>
  </r>
  <r>
    <x v="19"/>
    <x v="135"/>
    <x v="0"/>
    <x v="50"/>
    <x v="50"/>
    <x v="0"/>
    <x v="22"/>
    <x v="35"/>
  </r>
  <r>
    <x v="19"/>
    <x v="135"/>
    <x v="0"/>
    <x v="4"/>
    <x v="4"/>
    <x v="2"/>
    <x v="3"/>
    <x v="15"/>
  </r>
  <r>
    <x v="19"/>
    <x v="135"/>
    <x v="0"/>
    <x v="6"/>
    <x v="6"/>
    <x v="6"/>
    <x v="5"/>
    <x v="31"/>
  </r>
  <r>
    <x v="19"/>
    <x v="135"/>
    <x v="0"/>
    <x v="7"/>
    <x v="7"/>
    <x v="4"/>
    <x v="6"/>
    <x v="82"/>
  </r>
  <r>
    <x v="19"/>
    <x v="135"/>
    <x v="0"/>
    <x v="39"/>
    <x v="39"/>
    <x v="0"/>
    <x v="17"/>
    <x v="24"/>
  </r>
  <r>
    <x v="19"/>
    <x v="135"/>
    <x v="1"/>
    <x v="56"/>
    <x v="56"/>
    <x v="0"/>
    <x v="24"/>
    <x v="44"/>
  </r>
  <r>
    <x v="19"/>
    <x v="135"/>
    <x v="1"/>
    <x v="58"/>
    <x v="58"/>
    <x v="0"/>
    <x v="8"/>
    <x v="8"/>
  </r>
  <r>
    <x v="19"/>
    <x v="135"/>
    <x v="2"/>
    <x v="19"/>
    <x v="19"/>
    <x v="1"/>
    <x v="12"/>
    <x v="25"/>
  </r>
  <r>
    <x v="19"/>
    <x v="135"/>
    <x v="4"/>
    <x v="41"/>
    <x v="41"/>
    <x v="0"/>
    <x v="18"/>
    <x v="27"/>
  </r>
  <r>
    <x v="19"/>
    <x v="135"/>
    <x v="3"/>
    <x v="97"/>
    <x v="98"/>
    <x v="0"/>
    <x v="33"/>
    <x v="71"/>
  </r>
  <r>
    <x v="19"/>
    <x v="135"/>
    <x v="3"/>
    <x v="12"/>
    <x v="12"/>
    <x v="0"/>
    <x v="8"/>
    <x v="8"/>
  </r>
  <r>
    <x v="19"/>
    <x v="135"/>
    <x v="3"/>
    <x v="133"/>
    <x v="134"/>
    <x v="0"/>
    <x v="31"/>
    <x v="21"/>
  </r>
  <r>
    <x v="19"/>
    <x v="135"/>
    <x v="3"/>
    <x v="27"/>
    <x v="27"/>
    <x v="0"/>
    <x v="8"/>
    <x v="8"/>
  </r>
  <r>
    <x v="19"/>
    <x v="135"/>
    <x v="3"/>
    <x v="13"/>
    <x v="13"/>
    <x v="5"/>
    <x v="8"/>
    <x v="1"/>
  </r>
  <r>
    <x v="19"/>
    <x v="135"/>
    <x v="3"/>
    <x v="30"/>
    <x v="30"/>
    <x v="1"/>
    <x v="8"/>
    <x v="21"/>
  </r>
  <r>
    <x v="19"/>
    <x v="135"/>
    <x v="3"/>
    <x v="15"/>
    <x v="15"/>
    <x v="0"/>
    <x v="8"/>
    <x v="8"/>
  </r>
  <r>
    <x v="19"/>
    <x v="135"/>
    <x v="3"/>
    <x v="34"/>
    <x v="34"/>
    <x v="0"/>
    <x v="8"/>
    <x v="8"/>
  </r>
  <r>
    <x v="19"/>
    <x v="135"/>
    <x v="3"/>
    <x v="53"/>
    <x v="53"/>
    <x v="5"/>
    <x v="8"/>
    <x v="1"/>
  </r>
  <r>
    <x v="19"/>
    <x v="136"/>
    <x v="0"/>
    <x v="4"/>
    <x v="4"/>
    <x v="7"/>
    <x v="3"/>
    <x v="39"/>
  </r>
  <r>
    <x v="19"/>
    <x v="136"/>
    <x v="0"/>
    <x v="6"/>
    <x v="6"/>
    <x v="0"/>
    <x v="5"/>
    <x v="16"/>
  </r>
  <r>
    <x v="19"/>
    <x v="136"/>
    <x v="0"/>
    <x v="7"/>
    <x v="7"/>
    <x v="0"/>
    <x v="6"/>
    <x v="45"/>
  </r>
  <r>
    <x v="19"/>
    <x v="136"/>
    <x v="0"/>
    <x v="39"/>
    <x v="39"/>
    <x v="0"/>
    <x v="17"/>
    <x v="24"/>
  </r>
  <r>
    <x v="19"/>
    <x v="136"/>
    <x v="2"/>
    <x v="19"/>
    <x v="19"/>
    <x v="0"/>
    <x v="12"/>
    <x v="34"/>
  </r>
  <r>
    <x v="19"/>
    <x v="136"/>
    <x v="3"/>
    <x v="11"/>
    <x v="11"/>
    <x v="2"/>
    <x v="8"/>
    <x v="29"/>
  </r>
  <r>
    <x v="19"/>
    <x v="136"/>
    <x v="3"/>
    <x v="28"/>
    <x v="28"/>
    <x v="0"/>
    <x v="8"/>
    <x v="8"/>
  </r>
  <r>
    <x v="19"/>
    <x v="136"/>
    <x v="3"/>
    <x v="30"/>
    <x v="30"/>
    <x v="0"/>
    <x v="8"/>
    <x v="8"/>
  </r>
  <r>
    <x v="19"/>
    <x v="136"/>
    <x v="3"/>
    <x v="33"/>
    <x v="33"/>
    <x v="0"/>
    <x v="8"/>
    <x v="8"/>
  </r>
  <r>
    <x v="19"/>
    <x v="136"/>
    <x v="3"/>
    <x v="34"/>
    <x v="34"/>
    <x v="0"/>
    <x v="8"/>
    <x v="8"/>
  </r>
  <r>
    <x v="19"/>
    <x v="136"/>
    <x v="3"/>
    <x v="77"/>
    <x v="77"/>
    <x v="0"/>
    <x v="8"/>
    <x v="8"/>
  </r>
  <r>
    <x v="20"/>
    <x v="137"/>
    <x v="0"/>
    <x v="4"/>
    <x v="4"/>
    <x v="7"/>
    <x v="3"/>
    <x v="39"/>
  </r>
  <r>
    <x v="20"/>
    <x v="137"/>
    <x v="0"/>
    <x v="7"/>
    <x v="7"/>
    <x v="7"/>
    <x v="6"/>
    <x v="38"/>
  </r>
  <r>
    <x v="20"/>
    <x v="137"/>
    <x v="1"/>
    <x v="66"/>
    <x v="66"/>
    <x v="0"/>
    <x v="8"/>
    <x v="8"/>
  </r>
  <r>
    <x v="20"/>
    <x v="137"/>
    <x v="2"/>
    <x v="18"/>
    <x v="18"/>
    <x v="5"/>
    <x v="11"/>
    <x v="42"/>
  </r>
  <r>
    <x v="20"/>
    <x v="137"/>
    <x v="2"/>
    <x v="10"/>
    <x v="10"/>
    <x v="6"/>
    <x v="9"/>
    <x v="54"/>
  </r>
  <r>
    <x v="20"/>
    <x v="137"/>
    <x v="2"/>
    <x v="19"/>
    <x v="19"/>
    <x v="7"/>
    <x v="12"/>
    <x v="60"/>
  </r>
  <r>
    <x v="20"/>
    <x v="137"/>
    <x v="4"/>
    <x v="134"/>
    <x v="135"/>
    <x v="0"/>
    <x v="33"/>
    <x v="71"/>
  </r>
  <r>
    <x v="20"/>
    <x v="137"/>
    <x v="4"/>
    <x v="67"/>
    <x v="67"/>
    <x v="0"/>
    <x v="17"/>
    <x v="24"/>
  </r>
  <r>
    <x v="20"/>
    <x v="137"/>
    <x v="3"/>
    <x v="11"/>
    <x v="11"/>
    <x v="3"/>
    <x v="8"/>
    <x v="55"/>
  </r>
  <r>
    <x v="20"/>
    <x v="137"/>
    <x v="3"/>
    <x v="14"/>
    <x v="14"/>
    <x v="1"/>
    <x v="8"/>
    <x v="21"/>
  </r>
  <r>
    <x v="20"/>
    <x v="137"/>
    <x v="3"/>
    <x v="33"/>
    <x v="33"/>
    <x v="0"/>
    <x v="8"/>
    <x v="8"/>
  </r>
  <r>
    <x v="20"/>
    <x v="137"/>
    <x v="3"/>
    <x v="77"/>
    <x v="77"/>
    <x v="0"/>
    <x v="8"/>
    <x v="8"/>
  </r>
  <r>
    <x v="20"/>
    <x v="138"/>
    <x v="0"/>
    <x v="80"/>
    <x v="80"/>
    <x v="0"/>
    <x v="26"/>
    <x v="56"/>
  </r>
  <r>
    <x v="20"/>
    <x v="138"/>
    <x v="0"/>
    <x v="7"/>
    <x v="7"/>
    <x v="1"/>
    <x v="6"/>
    <x v="23"/>
  </r>
  <r>
    <x v="20"/>
    <x v="138"/>
    <x v="3"/>
    <x v="11"/>
    <x v="11"/>
    <x v="5"/>
    <x v="8"/>
    <x v="1"/>
  </r>
  <r>
    <x v="20"/>
    <x v="138"/>
    <x v="3"/>
    <x v="60"/>
    <x v="60"/>
    <x v="0"/>
    <x v="8"/>
    <x v="8"/>
  </r>
  <r>
    <x v="20"/>
    <x v="138"/>
    <x v="3"/>
    <x v="135"/>
    <x v="136"/>
    <x v="0"/>
    <x v="10"/>
    <x v="11"/>
  </r>
  <r>
    <x v="20"/>
    <x v="138"/>
    <x v="3"/>
    <x v="89"/>
    <x v="89"/>
    <x v="0"/>
    <x v="31"/>
    <x v="21"/>
  </r>
  <r>
    <x v="20"/>
    <x v="138"/>
    <x v="3"/>
    <x v="53"/>
    <x v="53"/>
    <x v="0"/>
    <x v="8"/>
    <x v="8"/>
  </r>
  <r>
    <x v="20"/>
    <x v="139"/>
    <x v="0"/>
    <x v="4"/>
    <x v="4"/>
    <x v="1"/>
    <x v="3"/>
    <x v="3"/>
  </r>
  <r>
    <x v="20"/>
    <x v="139"/>
    <x v="0"/>
    <x v="6"/>
    <x v="6"/>
    <x v="2"/>
    <x v="5"/>
    <x v="52"/>
  </r>
  <r>
    <x v="20"/>
    <x v="139"/>
    <x v="0"/>
    <x v="7"/>
    <x v="7"/>
    <x v="5"/>
    <x v="6"/>
    <x v="18"/>
  </r>
  <r>
    <x v="20"/>
    <x v="139"/>
    <x v="8"/>
    <x v="136"/>
    <x v="137"/>
    <x v="0"/>
    <x v="37"/>
    <x v="20"/>
  </r>
  <r>
    <x v="20"/>
    <x v="139"/>
    <x v="3"/>
    <x v="28"/>
    <x v="28"/>
    <x v="1"/>
    <x v="8"/>
    <x v="21"/>
  </r>
  <r>
    <x v="20"/>
    <x v="139"/>
    <x v="3"/>
    <x v="14"/>
    <x v="14"/>
    <x v="0"/>
    <x v="8"/>
    <x v="8"/>
  </r>
  <r>
    <x v="20"/>
    <x v="139"/>
    <x v="3"/>
    <x v="30"/>
    <x v="30"/>
    <x v="0"/>
    <x v="8"/>
    <x v="8"/>
  </r>
  <r>
    <x v="20"/>
    <x v="139"/>
    <x v="3"/>
    <x v="31"/>
    <x v="31"/>
    <x v="0"/>
    <x v="10"/>
    <x v="11"/>
  </r>
  <r>
    <x v="20"/>
    <x v="139"/>
    <x v="3"/>
    <x v="34"/>
    <x v="34"/>
    <x v="1"/>
    <x v="8"/>
    <x v="21"/>
  </r>
  <r>
    <x v="20"/>
    <x v="139"/>
    <x v="3"/>
    <x v="53"/>
    <x v="53"/>
    <x v="0"/>
    <x v="8"/>
    <x v="8"/>
  </r>
  <r>
    <x v="20"/>
    <x v="140"/>
    <x v="0"/>
    <x v="4"/>
    <x v="4"/>
    <x v="5"/>
    <x v="3"/>
    <x v="46"/>
  </r>
  <r>
    <x v="20"/>
    <x v="140"/>
    <x v="0"/>
    <x v="7"/>
    <x v="7"/>
    <x v="1"/>
    <x v="6"/>
    <x v="23"/>
  </r>
  <r>
    <x v="20"/>
    <x v="140"/>
    <x v="2"/>
    <x v="24"/>
    <x v="24"/>
    <x v="18"/>
    <x v="16"/>
    <x v="90"/>
  </r>
  <r>
    <x v="20"/>
    <x v="140"/>
    <x v="2"/>
    <x v="18"/>
    <x v="18"/>
    <x v="0"/>
    <x v="11"/>
    <x v="12"/>
  </r>
  <r>
    <x v="20"/>
    <x v="140"/>
    <x v="2"/>
    <x v="40"/>
    <x v="40"/>
    <x v="9"/>
    <x v="16"/>
    <x v="91"/>
  </r>
  <r>
    <x v="20"/>
    <x v="140"/>
    <x v="2"/>
    <x v="19"/>
    <x v="19"/>
    <x v="1"/>
    <x v="12"/>
    <x v="25"/>
  </r>
  <r>
    <x v="20"/>
    <x v="140"/>
    <x v="3"/>
    <x v="11"/>
    <x v="11"/>
    <x v="5"/>
    <x v="8"/>
    <x v="1"/>
  </r>
  <r>
    <x v="20"/>
    <x v="140"/>
    <x v="3"/>
    <x v="73"/>
    <x v="73"/>
    <x v="0"/>
    <x v="8"/>
    <x v="8"/>
  </r>
  <r>
    <x v="20"/>
    <x v="140"/>
    <x v="3"/>
    <x v="89"/>
    <x v="89"/>
    <x v="0"/>
    <x v="31"/>
    <x v="21"/>
  </r>
  <r>
    <x v="20"/>
    <x v="140"/>
    <x v="3"/>
    <x v="28"/>
    <x v="28"/>
    <x v="0"/>
    <x v="8"/>
    <x v="8"/>
  </r>
  <r>
    <x v="20"/>
    <x v="140"/>
    <x v="3"/>
    <x v="13"/>
    <x v="13"/>
    <x v="0"/>
    <x v="8"/>
    <x v="8"/>
  </r>
  <r>
    <x v="20"/>
    <x v="140"/>
    <x v="3"/>
    <x v="14"/>
    <x v="14"/>
    <x v="0"/>
    <x v="8"/>
    <x v="8"/>
  </r>
  <r>
    <x v="20"/>
    <x v="140"/>
    <x v="3"/>
    <x v="15"/>
    <x v="15"/>
    <x v="0"/>
    <x v="8"/>
    <x v="8"/>
  </r>
  <r>
    <x v="20"/>
    <x v="140"/>
    <x v="3"/>
    <x v="34"/>
    <x v="34"/>
    <x v="1"/>
    <x v="8"/>
    <x v="21"/>
  </r>
  <r>
    <x v="20"/>
    <x v="140"/>
    <x v="9"/>
    <x v="137"/>
    <x v="138"/>
    <x v="1"/>
    <x v="16"/>
    <x v="59"/>
  </r>
  <r>
    <x v="20"/>
    <x v="141"/>
    <x v="0"/>
    <x v="42"/>
    <x v="42"/>
    <x v="0"/>
    <x v="1"/>
    <x v="1"/>
  </r>
  <r>
    <x v="20"/>
    <x v="141"/>
    <x v="0"/>
    <x v="4"/>
    <x v="4"/>
    <x v="7"/>
    <x v="3"/>
    <x v="39"/>
  </r>
  <r>
    <x v="20"/>
    <x v="141"/>
    <x v="0"/>
    <x v="138"/>
    <x v="139"/>
    <x v="0"/>
    <x v="23"/>
    <x v="36"/>
  </r>
  <r>
    <x v="20"/>
    <x v="141"/>
    <x v="0"/>
    <x v="7"/>
    <x v="7"/>
    <x v="2"/>
    <x v="6"/>
    <x v="6"/>
  </r>
  <r>
    <x v="20"/>
    <x v="141"/>
    <x v="0"/>
    <x v="139"/>
    <x v="140"/>
    <x v="0"/>
    <x v="17"/>
    <x v="24"/>
  </r>
  <r>
    <x v="20"/>
    <x v="141"/>
    <x v="0"/>
    <x v="140"/>
    <x v="141"/>
    <x v="0"/>
    <x v="38"/>
    <x v="92"/>
  </r>
  <r>
    <x v="20"/>
    <x v="141"/>
    <x v="3"/>
    <x v="11"/>
    <x v="11"/>
    <x v="0"/>
    <x v="8"/>
    <x v="8"/>
  </r>
  <r>
    <x v="20"/>
    <x v="141"/>
    <x v="3"/>
    <x v="12"/>
    <x v="12"/>
    <x v="0"/>
    <x v="8"/>
    <x v="8"/>
  </r>
  <r>
    <x v="20"/>
    <x v="141"/>
    <x v="3"/>
    <x v="26"/>
    <x v="26"/>
    <x v="0"/>
    <x v="8"/>
    <x v="8"/>
  </r>
  <r>
    <x v="20"/>
    <x v="141"/>
    <x v="3"/>
    <x v="27"/>
    <x v="27"/>
    <x v="0"/>
    <x v="8"/>
    <x v="8"/>
  </r>
  <r>
    <x v="20"/>
    <x v="141"/>
    <x v="3"/>
    <x v="13"/>
    <x v="13"/>
    <x v="0"/>
    <x v="8"/>
    <x v="8"/>
  </r>
  <r>
    <x v="20"/>
    <x v="141"/>
    <x v="3"/>
    <x v="141"/>
    <x v="142"/>
    <x v="0"/>
    <x v="8"/>
    <x v="8"/>
  </r>
  <r>
    <x v="20"/>
    <x v="141"/>
    <x v="3"/>
    <x v="62"/>
    <x v="62"/>
    <x v="0"/>
    <x v="8"/>
    <x v="8"/>
  </r>
  <r>
    <x v="20"/>
    <x v="141"/>
    <x v="3"/>
    <x v="53"/>
    <x v="53"/>
    <x v="0"/>
    <x v="8"/>
    <x v="8"/>
  </r>
  <r>
    <x v="20"/>
    <x v="141"/>
    <x v="3"/>
    <x v="142"/>
    <x v="143"/>
    <x v="0"/>
    <x v="8"/>
    <x v="8"/>
  </r>
  <r>
    <x v="21"/>
    <x v="142"/>
    <x v="0"/>
    <x v="4"/>
    <x v="4"/>
    <x v="9"/>
    <x v="3"/>
    <x v="93"/>
  </r>
  <r>
    <x v="21"/>
    <x v="142"/>
    <x v="0"/>
    <x v="6"/>
    <x v="6"/>
    <x v="5"/>
    <x v="5"/>
    <x v="47"/>
  </r>
  <r>
    <x v="21"/>
    <x v="142"/>
    <x v="0"/>
    <x v="7"/>
    <x v="7"/>
    <x v="1"/>
    <x v="6"/>
    <x v="23"/>
  </r>
  <r>
    <x v="21"/>
    <x v="142"/>
    <x v="0"/>
    <x v="37"/>
    <x v="37"/>
    <x v="0"/>
    <x v="14"/>
    <x v="17"/>
  </r>
  <r>
    <x v="21"/>
    <x v="142"/>
    <x v="0"/>
    <x v="39"/>
    <x v="39"/>
    <x v="0"/>
    <x v="17"/>
    <x v="24"/>
  </r>
  <r>
    <x v="21"/>
    <x v="142"/>
    <x v="2"/>
    <x v="40"/>
    <x v="40"/>
    <x v="0"/>
    <x v="16"/>
    <x v="84"/>
  </r>
  <r>
    <x v="21"/>
    <x v="142"/>
    <x v="2"/>
    <x v="10"/>
    <x v="10"/>
    <x v="6"/>
    <x v="9"/>
    <x v="54"/>
  </r>
  <r>
    <x v="21"/>
    <x v="142"/>
    <x v="2"/>
    <x v="19"/>
    <x v="19"/>
    <x v="1"/>
    <x v="12"/>
    <x v="25"/>
  </r>
  <r>
    <x v="21"/>
    <x v="142"/>
    <x v="4"/>
    <x v="83"/>
    <x v="83"/>
    <x v="0"/>
    <x v="0"/>
    <x v="0"/>
  </r>
  <r>
    <x v="21"/>
    <x v="142"/>
    <x v="3"/>
    <x v="11"/>
    <x v="11"/>
    <x v="3"/>
    <x v="8"/>
    <x v="55"/>
  </r>
  <r>
    <x v="21"/>
    <x v="142"/>
    <x v="3"/>
    <x v="12"/>
    <x v="12"/>
    <x v="0"/>
    <x v="8"/>
    <x v="8"/>
  </r>
  <r>
    <x v="21"/>
    <x v="142"/>
    <x v="3"/>
    <x v="89"/>
    <x v="89"/>
    <x v="0"/>
    <x v="31"/>
    <x v="21"/>
  </r>
  <r>
    <x v="21"/>
    <x v="142"/>
    <x v="3"/>
    <x v="27"/>
    <x v="27"/>
    <x v="0"/>
    <x v="8"/>
    <x v="8"/>
  </r>
  <r>
    <x v="21"/>
    <x v="142"/>
    <x v="3"/>
    <x v="13"/>
    <x v="13"/>
    <x v="0"/>
    <x v="8"/>
    <x v="8"/>
  </r>
  <r>
    <x v="21"/>
    <x v="142"/>
    <x v="3"/>
    <x v="14"/>
    <x v="14"/>
    <x v="1"/>
    <x v="8"/>
    <x v="21"/>
  </r>
  <r>
    <x v="21"/>
    <x v="142"/>
    <x v="3"/>
    <x v="30"/>
    <x v="30"/>
    <x v="0"/>
    <x v="8"/>
    <x v="8"/>
  </r>
  <r>
    <x v="21"/>
    <x v="142"/>
    <x v="3"/>
    <x v="34"/>
    <x v="34"/>
    <x v="1"/>
    <x v="8"/>
    <x v="21"/>
  </r>
  <r>
    <x v="21"/>
    <x v="142"/>
    <x v="3"/>
    <x v="53"/>
    <x v="53"/>
    <x v="0"/>
    <x v="8"/>
    <x v="8"/>
  </r>
  <r>
    <x v="21"/>
    <x v="142"/>
    <x v="3"/>
    <x v="75"/>
    <x v="75"/>
    <x v="0"/>
    <x v="8"/>
    <x v="8"/>
  </r>
  <r>
    <x v="22"/>
    <x v="143"/>
    <x v="0"/>
    <x v="4"/>
    <x v="4"/>
    <x v="0"/>
    <x v="3"/>
    <x v="22"/>
  </r>
  <r>
    <x v="22"/>
    <x v="143"/>
    <x v="0"/>
    <x v="7"/>
    <x v="7"/>
    <x v="5"/>
    <x v="6"/>
    <x v="18"/>
  </r>
  <r>
    <x v="22"/>
    <x v="143"/>
    <x v="2"/>
    <x v="24"/>
    <x v="24"/>
    <x v="0"/>
    <x v="16"/>
    <x v="84"/>
  </r>
  <r>
    <x v="22"/>
    <x v="143"/>
    <x v="2"/>
    <x v="40"/>
    <x v="40"/>
    <x v="0"/>
    <x v="16"/>
    <x v="84"/>
  </r>
  <r>
    <x v="22"/>
    <x v="143"/>
    <x v="2"/>
    <x v="105"/>
    <x v="106"/>
    <x v="7"/>
    <x v="9"/>
    <x v="94"/>
  </r>
  <r>
    <x v="22"/>
    <x v="143"/>
    <x v="2"/>
    <x v="19"/>
    <x v="19"/>
    <x v="1"/>
    <x v="12"/>
    <x v="25"/>
  </r>
  <r>
    <x v="22"/>
    <x v="143"/>
    <x v="2"/>
    <x v="20"/>
    <x v="20"/>
    <x v="0"/>
    <x v="13"/>
    <x v="14"/>
  </r>
  <r>
    <x v="22"/>
    <x v="143"/>
    <x v="3"/>
    <x v="11"/>
    <x v="11"/>
    <x v="0"/>
    <x v="8"/>
    <x v="8"/>
  </r>
  <r>
    <x v="22"/>
    <x v="143"/>
    <x v="3"/>
    <x v="12"/>
    <x v="12"/>
    <x v="1"/>
    <x v="8"/>
    <x v="21"/>
  </r>
  <r>
    <x v="22"/>
    <x v="143"/>
    <x v="3"/>
    <x v="98"/>
    <x v="99"/>
    <x v="0"/>
    <x v="8"/>
    <x v="8"/>
  </r>
  <r>
    <x v="22"/>
    <x v="143"/>
    <x v="3"/>
    <x v="14"/>
    <x v="14"/>
    <x v="2"/>
    <x v="8"/>
    <x v="29"/>
  </r>
  <r>
    <x v="22"/>
    <x v="143"/>
    <x v="3"/>
    <x v="30"/>
    <x v="30"/>
    <x v="5"/>
    <x v="8"/>
    <x v="1"/>
  </r>
  <r>
    <x v="22"/>
    <x v="143"/>
    <x v="3"/>
    <x v="15"/>
    <x v="15"/>
    <x v="1"/>
    <x v="8"/>
    <x v="21"/>
  </r>
  <r>
    <x v="22"/>
    <x v="143"/>
    <x v="3"/>
    <x v="34"/>
    <x v="34"/>
    <x v="5"/>
    <x v="8"/>
    <x v="1"/>
  </r>
  <r>
    <x v="23"/>
    <x v="144"/>
    <x v="0"/>
    <x v="42"/>
    <x v="42"/>
    <x v="0"/>
    <x v="1"/>
    <x v="1"/>
  </r>
  <r>
    <x v="23"/>
    <x v="144"/>
    <x v="2"/>
    <x v="10"/>
    <x v="10"/>
    <x v="6"/>
    <x v="9"/>
    <x v="54"/>
  </r>
  <r>
    <x v="23"/>
    <x v="145"/>
    <x v="0"/>
    <x v="1"/>
    <x v="1"/>
    <x v="0"/>
    <x v="1"/>
    <x v="1"/>
  </r>
  <r>
    <x v="23"/>
    <x v="146"/>
    <x v="0"/>
    <x v="7"/>
    <x v="7"/>
    <x v="0"/>
    <x v="6"/>
    <x v="45"/>
  </r>
  <r>
    <x v="23"/>
    <x v="147"/>
    <x v="0"/>
    <x v="43"/>
    <x v="94"/>
    <x v="0"/>
    <x v="19"/>
    <x v="28"/>
  </r>
  <r>
    <x v="23"/>
    <x v="147"/>
    <x v="3"/>
    <x v="12"/>
    <x v="12"/>
    <x v="0"/>
    <x v="8"/>
    <x v="8"/>
  </r>
  <r>
    <x v="23"/>
    <x v="148"/>
    <x v="0"/>
    <x v="4"/>
    <x v="4"/>
    <x v="7"/>
    <x v="3"/>
    <x v="39"/>
  </r>
  <r>
    <x v="23"/>
    <x v="148"/>
    <x v="0"/>
    <x v="6"/>
    <x v="6"/>
    <x v="7"/>
    <x v="5"/>
    <x v="37"/>
  </r>
  <r>
    <x v="23"/>
    <x v="148"/>
    <x v="0"/>
    <x v="7"/>
    <x v="7"/>
    <x v="5"/>
    <x v="6"/>
    <x v="18"/>
  </r>
  <r>
    <x v="23"/>
    <x v="148"/>
    <x v="5"/>
    <x v="143"/>
    <x v="144"/>
    <x v="0"/>
    <x v="0"/>
    <x v="0"/>
  </r>
  <r>
    <x v="23"/>
    <x v="148"/>
    <x v="5"/>
    <x v="102"/>
    <x v="103"/>
    <x v="0"/>
    <x v="1"/>
    <x v="1"/>
  </r>
  <r>
    <x v="23"/>
    <x v="148"/>
    <x v="5"/>
    <x v="144"/>
    <x v="145"/>
    <x v="0"/>
    <x v="1"/>
    <x v="1"/>
  </r>
  <r>
    <x v="23"/>
    <x v="149"/>
    <x v="5"/>
    <x v="145"/>
    <x v="146"/>
    <x v="0"/>
    <x v="1"/>
    <x v="1"/>
  </r>
  <r>
    <x v="23"/>
    <x v="149"/>
    <x v="2"/>
    <x v="18"/>
    <x v="18"/>
    <x v="0"/>
    <x v="11"/>
    <x v="12"/>
  </r>
  <r>
    <x v="23"/>
    <x v="149"/>
    <x v="2"/>
    <x v="40"/>
    <x v="40"/>
    <x v="7"/>
    <x v="16"/>
    <x v="26"/>
  </r>
  <r>
    <x v="23"/>
    <x v="149"/>
    <x v="2"/>
    <x v="19"/>
    <x v="19"/>
    <x v="7"/>
    <x v="12"/>
    <x v="60"/>
  </r>
  <r>
    <x v="23"/>
    <x v="149"/>
    <x v="2"/>
    <x v="55"/>
    <x v="55"/>
    <x v="0"/>
    <x v="9"/>
    <x v="41"/>
  </r>
  <r>
    <x v="23"/>
    <x v="149"/>
    <x v="3"/>
    <x v="11"/>
    <x v="11"/>
    <x v="0"/>
    <x v="8"/>
    <x v="8"/>
  </r>
  <r>
    <x v="23"/>
    <x v="149"/>
    <x v="3"/>
    <x v="12"/>
    <x v="12"/>
    <x v="1"/>
    <x v="8"/>
    <x v="21"/>
  </r>
  <r>
    <x v="23"/>
    <x v="149"/>
    <x v="3"/>
    <x v="29"/>
    <x v="29"/>
    <x v="0"/>
    <x v="8"/>
    <x v="8"/>
  </r>
  <r>
    <x v="23"/>
    <x v="149"/>
    <x v="3"/>
    <x v="14"/>
    <x v="14"/>
    <x v="0"/>
    <x v="8"/>
    <x v="8"/>
  </r>
  <r>
    <x v="23"/>
    <x v="149"/>
    <x v="3"/>
    <x v="31"/>
    <x v="31"/>
    <x v="0"/>
    <x v="10"/>
    <x v="11"/>
  </r>
  <r>
    <x v="23"/>
    <x v="149"/>
    <x v="3"/>
    <x v="34"/>
    <x v="34"/>
    <x v="0"/>
    <x v="8"/>
    <x v="8"/>
  </r>
  <r>
    <x v="23"/>
    <x v="150"/>
    <x v="0"/>
    <x v="0"/>
    <x v="0"/>
    <x v="0"/>
    <x v="0"/>
    <x v="0"/>
  </r>
  <r>
    <x v="23"/>
    <x v="150"/>
    <x v="0"/>
    <x v="4"/>
    <x v="4"/>
    <x v="5"/>
    <x v="3"/>
    <x v="46"/>
  </r>
  <r>
    <x v="23"/>
    <x v="150"/>
    <x v="0"/>
    <x v="6"/>
    <x v="6"/>
    <x v="0"/>
    <x v="5"/>
    <x v="16"/>
  </r>
  <r>
    <x v="23"/>
    <x v="150"/>
    <x v="0"/>
    <x v="21"/>
    <x v="21"/>
    <x v="0"/>
    <x v="14"/>
    <x v="17"/>
  </r>
  <r>
    <x v="23"/>
    <x v="150"/>
    <x v="0"/>
    <x v="7"/>
    <x v="7"/>
    <x v="3"/>
    <x v="6"/>
    <x v="69"/>
  </r>
  <r>
    <x v="23"/>
    <x v="150"/>
    <x v="1"/>
    <x v="57"/>
    <x v="57"/>
    <x v="0"/>
    <x v="7"/>
    <x v="7"/>
  </r>
  <r>
    <x v="23"/>
    <x v="150"/>
    <x v="4"/>
    <x v="67"/>
    <x v="67"/>
    <x v="0"/>
    <x v="17"/>
    <x v="24"/>
  </r>
  <r>
    <x v="23"/>
    <x v="150"/>
    <x v="3"/>
    <x v="11"/>
    <x v="11"/>
    <x v="1"/>
    <x v="8"/>
    <x v="21"/>
  </r>
  <r>
    <x v="23"/>
    <x v="150"/>
    <x v="3"/>
    <x v="12"/>
    <x v="12"/>
    <x v="0"/>
    <x v="8"/>
    <x v="8"/>
  </r>
  <r>
    <x v="23"/>
    <x v="150"/>
    <x v="3"/>
    <x v="60"/>
    <x v="60"/>
    <x v="0"/>
    <x v="8"/>
    <x v="8"/>
  </r>
  <r>
    <x v="23"/>
    <x v="150"/>
    <x v="3"/>
    <x v="89"/>
    <x v="89"/>
    <x v="0"/>
    <x v="31"/>
    <x v="21"/>
  </r>
  <r>
    <x v="23"/>
    <x v="150"/>
    <x v="3"/>
    <x v="28"/>
    <x v="28"/>
    <x v="0"/>
    <x v="8"/>
    <x v="8"/>
  </r>
  <r>
    <x v="23"/>
    <x v="150"/>
    <x v="3"/>
    <x v="13"/>
    <x v="13"/>
    <x v="1"/>
    <x v="8"/>
    <x v="21"/>
  </r>
  <r>
    <x v="23"/>
    <x v="150"/>
    <x v="3"/>
    <x v="29"/>
    <x v="29"/>
    <x v="0"/>
    <x v="8"/>
    <x v="8"/>
  </r>
  <r>
    <x v="23"/>
    <x v="150"/>
    <x v="3"/>
    <x v="14"/>
    <x v="14"/>
    <x v="5"/>
    <x v="8"/>
    <x v="1"/>
  </r>
  <r>
    <x v="23"/>
    <x v="150"/>
    <x v="3"/>
    <x v="30"/>
    <x v="30"/>
    <x v="0"/>
    <x v="8"/>
    <x v="8"/>
  </r>
  <r>
    <x v="23"/>
    <x v="150"/>
    <x v="3"/>
    <x v="34"/>
    <x v="34"/>
    <x v="5"/>
    <x v="8"/>
    <x v="1"/>
  </r>
  <r>
    <x v="23"/>
    <x v="150"/>
    <x v="3"/>
    <x v="53"/>
    <x v="53"/>
    <x v="1"/>
    <x v="8"/>
    <x v="21"/>
  </r>
  <r>
    <x v="23"/>
    <x v="151"/>
    <x v="0"/>
    <x v="81"/>
    <x v="81"/>
    <x v="0"/>
    <x v="27"/>
    <x v="57"/>
  </r>
  <r>
    <x v="23"/>
    <x v="151"/>
    <x v="0"/>
    <x v="4"/>
    <x v="4"/>
    <x v="3"/>
    <x v="3"/>
    <x v="30"/>
  </r>
  <r>
    <x v="23"/>
    <x v="151"/>
    <x v="0"/>
    <x v="5"/>
    <x v="5"/>
    <x v="0"/>
    <x v="4"/>
    <x v="4"/>
  </r>
  <r>
    <x v="23"/>
    <x v="151"/>
    <x v="0"/>
    <x v="6"/>
    <x v="6"/>
    <x v="0"/>
    <x v="5"/>
    <x v="16"/>
  </r>
  <r>
    <x v="23"/>
    <x v="151"/>
    <x v="0"/>
    <x v="7"/>
    <x v="7"/>
    <x v="7"/>
    <x v="6"/>
    <x v="38"/>
  </r>
  <r>
    <x v="23"/>
    <x v="151"/>
    <x v="0"/>
    <x v="39"/>
    <x v="39"/>
    <x v="0"/>
    <x v="17"/>
    <x v="24"/>
  </r>
  <r>
    <x v="23"/>
    <x v="151"/>
    <x v="5"/>
    <x v="146"/>
    <x v="147"/>
    <x v="0"/>
    <x v="1"/>
    <x v="1"/>
  </r>
  <r>
    <x v="23"/>
    <x v="151"/>
    <x v="5"/>
    <x v="144"/>
    <x v="145"/>
    <x v="5"/>
    <x v="1"/>
    <x v="68"/>
  </r>
  <r>
    <x v="23"/>
    <x v="151"/>
    <x v="5"/>
    <x v="147"/>
    <x v="148"/>
    <x v="0"/>
    <x v="0"/>
    <x v="0"/>
  </r>
  <r>
    <x v="23"/>
    <x v="151"/>
    <x v="4"/>
    <x v="41"/>
    <x v="41"/>
    <x v="0"/>
    <x v="18"/>
    <x v="27"/>
  </r>
  <r>
    <x v="23"/>
    <x v="151"/>
    <x v="3"/>
    <x v="11"/>
    <x v="11"/>
    <x v="5"/>
    <x v="8"/>
    <x v="1"/>
  </r>
  <r>
    <x v="23"/>
    <x v="151"/>
    <x v="3"/>
    <x v="12"/>
    <x v="12"/>
    <x v="0"/>
    <x v="8"/>
    <x v="8"/>
  </r>
  <r>
    <x v="23"/>
    <x v="151"/>
    <x v="3"/>
    <x v="27"/>
    <x v="27"/>
    <x v="0"/>
    <x v="8"/>
    <x v="8"/>
  </r>
  <r>
    <x v="23"/>
    <x v="151"/>
    <x v="3"/>
    <x v="13"/>
    <x v="13"/>
    <x v="0"/>
    <x v="8"/>
    <x v="8"/>
  </r>
  <r>
    <x v="23"/>
    <x v="151"/>
    <x v="3"/>
    <x v="33"/>
    <x v="33"/>
    <x v="0"/>
    <x v="8"/>
    <x v="8"/>
  </r>
  <r>
    <x v="24"/>
    <x v="152"/>
    <x v="6"/>
    <x v="148"/>
    <x v="149"/>
    <x v="0"/>
    <x v="9"/>
    <x v="41"/>
  </r>
  <r>
    <x v="24"/>
    <x v="152"/>
    <x v="6"/>
    <x v="149"/>
    <x v="150"/>
    <x v="0"/>
    <x v="9"/>
    <x v="41"/>
  </r>
  <r>
    <x v="24"/>
    <x v="152"/>
    <x v="10"/>
    <x v="150"/>
    <x v="151"/>
    <x v="0"/>
    <x v="39"/>
    <x v="40"/>
  </r>
  <r>
    <x v="24"/>
    <x v="153"/>
    <x v="0"/>
    <x v="42"/>
    <x v="42"/>
    <x v="0"/>
    <x v="1"/>
    <x v="1"/>
  </r>
  <r>
    <x v="24"/>
    <x v="153"/>
    <x v="0"/>
    <x v="4"/>
    <x v="4"/>
    <x v="5"/>
    <x v="3"/>
    <x v="46"/>
  </r>
  <r>
    <x v="24"/>
    <x v="153"/>
    <x v="0"/>
    <x v="6"/>
    <x v="6"/>
    <x v="5"/>
    <x v="5"/>
    <x v="47"/>
  </r>
  <r>
    <x v="24"/>
    <x v="153"/>
    <x v="0"/>
    <x v="7"/>
    <x v="7"/>
    <x v="1"/>
    <x v="6"/>
    <x v="23"/>
  </r>
  <r>
    <x v="24"/>
    <x v="153"/>
    <x v="1"/>
    <x v="9"/>
    <x v="9"/>
    <x v="0"/>
    <x v="8"/>
    <x v="8"/>
  </r>
  <r>
    <x v="24"/>
    <x v="153"/>
    <x v="1"/>
    <x v="100"/>
    <x v="101"/>
    <x v="0"/>
    <x v="8"/>
    <x v="8"/>
  </r>
  <r>
    <x v="24"/>
    <x v="153"/>
    <x v="2"/>
    <x v="24"/>
    <x v="24"/>
    <x v="17"/>
    <x v="16"/>
    <x v="85"/>
  </r>
  <r>
    <x v="24"/>
    <x v="153"/>
    <x v="2"/>
    <x v="18"/>
    <x v="18"/>
    <x v="0"/>
    <x v="11"/>
    <x v="12"/>
  </r>
  <r>
    <x v="24"/>
    <x v="153"/>
    <x v="2"/>
    <x v="40"/>
    <x v="40"/>
    <x v="0"/>
    <x v="16"/>
    <x v="84"/>
  </r>
  <r>
    <x v="24"/>
    <x v="153"/>
    <x v="2"/>
    <x v="19"/>
    <x v="19"/>
    <x v="7"/>
    <x v="12"/>
    <x v="60"/>
  </r>
  <r>
    <x v="24"/>
    <x v="153"/>
    <x v="4"/>
    <x v="83"/>
    <x v="83"/>
    <x v="0"/>
    <x v="0"/>
    <x v="0"/>
  </r>
  <r>
    <x v="24"/>
    <x v="153"/>
    <x v="3"/>
    <x v="11"/>
    <x v="11"/>
    <x v="8"/>
    <x v="8"/>
    <x v="68"/>
  </r>
  <r>
    <x v="24"/>
    <x v="153"/>
    <x v="3"/>
    <x v="12"/>
    <x v="12"/>
    <x v="0"/>
    <x v="8"/>
    <x v="8"/>
  </r>
  <r>
    <x v="24"/>
    <x v="153"/>
    <x v="3"/>
    <x v="60"/>
    <x v="60"/>
    <x v="0"/>
    <x v="8"/>
    <x v="8"/>
  </r>
  <r>
    <x v="24"/>
    <x v="153"/>
    <x v="3"/>
    <x v="27"/>
    <x v="27"/>
    <x v="0"/>
    <x v="8"/>
    <x v="8"/>
  </r>
  <r>
    <x v="24"/>
    <x v="153"/>
    <x v="3"/>
    <x v="28"/>
    <x v="28"/>
    <x v="0"/>
    <x v="8"/>
    <x v="8"/>
  </r>
  <r>
    <x v="24"/>
    <x v="153"/>
    <x v="3"/>
    <x v="13"/>
    <x v="13"/>
    <x v="0"/>
    <x v="8"/>
    <x v="8"/>
  </r>
  <r>
    <x v="24"/>
    <x v="153"/>
    <x v="3"/>
    <x v="31"/>
    <x v="31"/>
    <x v="0"/>
    <x v="10"/>
    <x v="11"/>
  </r>
  <r>
    <x v="24"/>
    <x v="153"/>
    <x v="3"/>
    <x v="34"/>
    <x v="34"/>
    <x v="5"/>
    <x v="8"/>
    <x v="1"/>
  </r>
  <r>
    <x v="24"/>
    <x v="153"/>
    <x v="3"/>
    <x v="53"/>
    <x v="53"/>
    <x v="0"/>
    <x v="8"/>
    <x v="8"/>
  </r>
  <r>
    <x v="24"/>
    <x v="154"/>
    <x v="0"/>
    <x v="7"/>
    <x v="7"/>
    <x v="7"/>
    <x v="6"/>
    <x v="38"/>
  </r>
  <r>
    <x v="24"/>
    <x v="154"/>
    <x v="0"/>
    <x v="82"/>
    <x v="82"/>
    <x v="0"/>
    <x v="23"/>
    <x v="36"/>
  </r>
  <r>
    <x v="24"/>
    <x v="154"/>
    <x v="1"/>
    <x v="8"/>
    <x v="8"/>
    <x v="0"/>
    <x v="7"/>
    <x v="7"/>
  </r>
  <r>
    <x v="24"/>
    <x v="154"/>
    <x v="4"/>
    <x v="151"/>
    <x v="152"/>
    <x v="0"/>
    <x v="39"/>
    <x v="40"/>
  </r>
  <r>
    <x v="24"/>
    <x v="154"/>
    <x v="3"/>
    <x v="98"/>
    <x v="99"/>
    <x v="0"/>
    <x v="8"/>
    <x v="8"/>
  </r>
  <r>
    <x v="24"/>
    <x v="154"/>
    <x v="3"/>
    <x v="14"/>
    <x v="14"/>
    <x v="1"/>
    <x v="8"/>
    <x v="21"/>
  </r>
  <r>
    <x v="24"/>
    <x v="154"/>
    <x v="3"/>
    <x v="34"/>
    <x v="34"/>
    <x v="0"/>
    <x v="8"/>
    <x v="8"/>
  </r>
  <r>
    <x v="24"/>
    <x v="154"/>
    <x v="3"/>
    <x v="152"/>
    <x v="153"/>
    <x v="0"/>
    <x v="8"/>
    <x v="8"/>
  </r>
  <r>
    <x v="24"/>
    <x v="155"/>
    <x v="0"/>
    <x v="153"/>
    <x v="154"/>
    <x v="0"/>
    <x v="40"/>
    <x v="95"/>
  </r>
  <r>
    <x v="24"/>
    <x v="155"/>
    <x v="0"/>
    <x v="154"/>
    <x v="155"/>
    <x v="0"/>
    <x v="40"/>
    <x v="95"/>
  </r>
  <r>
    <x v="24"/>
    <x v="155"/>
    <x v="0"/>
    <x v="1"/>
    <x v="1"/>
    <x v="0"/>
    <x v="1"/>
    <x v="1"/>
  </r>
  <r>
    <x v="24"/>
    <x v="155"/>
    <x v="0"/>
    <x v="4"/>
    <x v="4"/>
    <x v="5"/>
    <x v="3"/>
    <x v="46"/>
  </r>
  <r>
    <x v="24"/>
    <x v="155"/>
    <x v="0"/>
    <x v="51"/>
    <x v="51"/>
    <x v="0"/>
    <x v="23"/>
    <x v="36"/>
  </r>
  <r>
    <x v="24"/>
    <x v="155"/>
    <x v="0"/>
    <x v="6"/>
    <x v="6"/>
    <x v="1"/>
    <x v="5"/>
    <x v="5"/>
  </r>
  <r>
    <x v="24"/>
    <x v="155"/>
    <x v="0"/>
    <x v="21"/>
    <x v="21"/>
    <x v="0"/>
    <x v="14"/>
    <x v="17"/>
  </r>
  <r>
    <x v="24"/>
    <x v="155"/>
    <x v="0"/>
    <x v="7"/>
    <x v="7"/>
    <x v="1"/>
    <x v="6"/>
    <x v="23"/>
  </r>
  <r>
    <x v="24"/>
    <x v="155"/>
    <x v="1"/>
    <x v="66"/>
    <x v="66"/>
    <x v="0"/>
    <x v="8"/>
    <x v="8"/>
  </r>
  <r>
    <x v="24"/>
    <x v="155"/>
    <x v="1"/>
    <x v="96"/>
    <x v="97"/>
    <x v="0"/>
    <x v="8"/>
    <x v="8"/>
  </r>
  <r>
    <x v="24"/>
    <x v="155"/>
    <x v="1"/>
    <x v="125"/>
    <x v="126"/>
    <x v="0"/>
    <x v="8"/>
    <x v="8"/>
  </r>
  <r>
    <x v="24"/>
    <x v="155"/>
    <x v="4"/>
    <x v="67"/>
    <x v="67"/>
    <x v="0"/>
    <x v="17"/>
    <x v="24"/>
  </r>
  <r>
    <x v="24"/>
    <x v="155"/>
    <x v="3"/>
    <x v="31"/>
    <x v="31"/>
    <x v="0"/>
    <x v="10"/>
    <x v="11"/>
  </r>
  <r>
    <x v="24"/>
    <x v="155"/>
    <x v="3"/>
    <x v="34"/>
    <x v="34"/>
    <x v="0"/>
    <x v="8"/>
    <x v="8"/>
  </r>
  <r>
    <x v="24"/>
    <x v="156"/>
    <x v="0"/>
    <x v="0"/>
    <x v="0"/>
    <x v="0"/>
    <x v="0"/>
    <x v="0"/>
  </r>
  <r>
    <x v="24"/>
    <x v="156"/>
    <x v="2"/>
    <x v="19"/>
    <x v="19"/>
    <x v="0"/>
    <x v="12"/>
    <x v="34"/>
  </r>
  <r>
    <x v="24"/>
    <x v="157"/>
    <x v="0"/>
    <x v="87"/>
    <x v="87"/>
    <x v="0"/>
    <x v="30"/>
    <x v="65"/>
  </r>
  <r>
    <x v="24"/>
    <x v="157"/>
    <x v="0"/>
    <x v="4"/>
    <x v="4"/>
    <x v="0"/>
    <x v="3"/>
    <x v="22"/>
  </r>
  <r>
    <x v="24"/>
    <x v="157"/>
    <x v="0"/>
    <x v="6"/>
    <x v="6"/>
    <x v="0"/>
    <x v="5"/>
    <x v="16"/>
  </r>
  <r>
    <x v="24"/>
    <x v="157"/>
    <x v="0"/>
    <x v="7"/>
    <x v="7"/>
    <x v="0"/>
    <x v="6"/>
    <x v="45"/>
  </r>
  <r>
    <x v="24"/>
    <x v="157"/>
    <x v="2"/>
    <x v="24"/>
    <x v="24"/>
    <x v="19"/>
    <x v="16"/>
    <x v="34"/>
  </r>
  <r>
    <x v="24"/>
    <x v="157"/>
    <x v="2"/>
    <x v="19"/>
    <x v="19"/>
    <x v="1"/>
    <x v="12"/>
    <x v="25"/>
  </r>
  <r>
    <x v="24"/>
    <x v="157"/>
    <x v="2"/>
    <x v="20"/>
    <x v="20"/>
    <x v="0"/>
    <x v="13"/>
    <x v="14"/>
  </r>
  <r>
    <x v="24"/>
    <x v="157"/>
    <x v="3"/>
    <x v="12"/>
    <x v="12"/>
    <x v="0"/>
    <x v="8"/>
    <x v="8"/>
  </r>
  <r>
    <x v="24"/>
    <x v="158"/>
    <x v="0"/>
    <x v="4"/>
    <x v="4"/>
    <x v="7"/>
    <x v="3"/>
    <x v="39"/>
  </r>
  <r>
    <x v="24"/>
    <x v="158"/>
    <x v="0"/>
    <x v="6"/>
    <x v="6"/>
    <x v="7"/>
    <x v="5"/>
    <x v="37"/>
  </r>
  <r>
    <x v="24"/>
    <x v="158"/>
    <x v="0"/>
    <x v="7"/>
    <x v="7"/>
    <x v="1"/>
    <x v="6"/>
    <x v="23"/>
  </r>
  <r>
    <x v="24"/>
    <x v="158"/>
    <x v="0"/>
    <x v="39"/>
    <x v="39"/>
    <x v="1"/>
    <x v="17"/>
    <x v="40"/>
  </r>
  <r>
    <x v="24"/>
    <x v="158"/>
    <x v="1"/>
    <x v="56"/>
    <x v="56"/>
    <x v="0"/>
    <x v="24"/>
    <x v="44"/>
  </r>
  <r>
    <x v="24"/>
    <x v="158"/>
    <x v="1"/>
    <x v="8"/>
    <x v="8"/>
    <x v="1"/>
    <x v="7"/>
    <x v="70"/>
  </r>
  <r>
    <x v="24"/>
    <x v="158"/>
    <x v="1"/>
    <x v="155"/>
    <x v="156"/>
    <x v="0"/>
    <x v="7"/>
    <x v="7"/>
  </r>
  <r>
    <x v="24"/>
    <x v="158"/>
    <x v="1"/>
    <x v="58"/>
    <x v="58"/>
    <x v="0"/>
    <x v="8"/>
    <x v="8"/>
  </r>
  <r>
    <x v="24"/>
    <x v="158"/>
    <x v="3"/>
    <x v="11"/>
    <x v="11"/>
    <x v="0"/>
    <x v="8"/>
    <x v="8"/>
  </r>
  <r>
    <x v="24"/>
    <x v="158"/>
    <x v="3"/>
    <x v="123"/>
    <x v="124"/>
    <x v="0"/>
    <x v="8"/>
    <x v="8"/>
  </r>
  <r>
    <x v="24"/>
    <x v="158"/>
    <x v="3"/>
    <x v="28"/>
    <x v="28"/>
    <x v="0"/>
    <x v="8"/>
    <x v="8"/>
  </r>
  <r>
    <x v="24"/>
    <x v="158"/>
    <x v="3"/>
    <x v="13"/>
    <x v="13"/>
    <x v="0"/>
    <x v="8"/>
    <x v="8"/>
  </r>
  <r>
    <x v="24"/>
    <x v="158"/>
    <x v="3"/>
    <x v="14"/>
    <x v="14"/>
    <x v="1"/>
    <x v="8"/>
    <x v="21"/>
  </r>
  <r>
    <x v="24"/>
    <x v="158"/>
    <x v="3"/>
    <x v="30"/>
    <x v="30"/>
    <x v="1"/>
    <x v="8"/>
    <x v="21"/>
  </r>
  <r>
    <x v="24"/>
    <x v="158"/>
    <x v="3"/>
    <x v="31"/>
    <x v="31"/>
    <x v="1"/>
    <x v="10"/>
    <x v="28"/>
  </r>
  <r>
    <x v="24"/>
    <x v="158"/>
    <x v="3"/>
    <x v="34"/>
    <x v="34"/>
    <x v="1"/>
    <x v="8"/>
    <x v="21"/>
  </r>
  <r>
    <x v="24"/>
    <x v="158"/>
    <x v="3"/>
    <x v="53"/>
    <x v="53"/>
    <x v="0"/>
    <x v="8"/>
    <x v="8"/>
  </r>
  <r>
    <x v="24"/>
    <x v="158"/>
    <x v="3"/>
    <x v="77"/>
    <x v="77"/>
    <x v="0"/>
    <x v="8"/>
    <x v="8"/>
  </r>
  <r>
    <x v="24"/>
    <x v="159"/>
    <x v="0"/>
    <x v="42"/>
    <x v="42"/>
    <x v="0"/>
    <x v="1"/>
    <x v="1"/>
  </r>
  <r>
    <x v="24"/>
    <x v="159"/>
    <x v="0"/>
    <x v="50"/>
    <x v="50"/>
    <x v="0"/>
    <x v="22"/>
    <x v="35"/>
  </r>
  <r>
    <x v="24"/>
    <x v="159"/>
    <x v="0"/>
    <x v="4"/>
    <x v="4"/>
    <x v="2"/>
    <x v="3"/>
    <x v="15"/>
  </r>
  <r>
    <x v="24"/>
    <x v="159"/>
    <x v="0"/>
    <x v="6"/>
    <x v="6"/>
    <x v="6"/>
    <x v="5"/>
    <x v="31"/>
  </r>
  <r>
    <x v="24"/>
    <x v="159"/>
    <x v="0"/>
    <x v="7"/>
    <x v="7"/>
    <x v="3"/>
    <x v="6"/>
    <x v="69"/>
  </r>
  <r>
    <x v="24"/>
    <x v="159"/>
    <x v="2"/>
    <x v="19"/>
    <x v="19"/>
    <x v="5"/>
    <x v="12"/>
    <x v="48"/>
  </r>
  <r>
    <x v="24"/>
    <x v="159"/>
    <x v="3"/>
    <x v="60"/>
    <x v="60"/>
    <x v="0"/>
    <x v="8"/>
    <x v="8"/>
  </r>
  <r>
    <x v="24"/>
    <x v="159"/>
    <x v="3"/>
    <x v="28"/>
    <x v="28"/>
    <x v="0"/>
    <x v="8"/>
    <x v="8"/>
  </r>
  <r>
    <x v="24"/>
    <x v="159"/>
    <x v="3"/>
    <x v="13"/>
    <x v="13"/>
    <x v="0"/>
    <x v="8"/>
    <x v="8"/>
  </r>
  <r>
    <x v="24"/>
    <x v="159"/>
    <x v="3"/>
    <x v="14"/>
    <x v="14"/>
    <x v="1"/>
    <x v="8"/>
    <x v="21"/>
  </r>
  <r>
    <x v="24"/>
    <x v="159"/>
    <x v="3"/>
    <x v="31"/>
    <x v="31"/>
    <x v="0"/>
    <x v="10"/>
    <x v="11"/>
  </r>
  <r>
    <x v="24"/>
    <x v="159"/>
    <x v="3"/>
    <x v="53"/>
    <x v="53"/>
    <x v="0"/>
    <x v="8"/>
    <x v="8"/>
  </r>
  <r>
    <x v="24"/>
    <x v="160"/>
    <x v="0"/>
    <x v="1"/>
    <x v="1"/>
    <x v="0"/>
    <x v="1"/>
    <x v="1"/>
  </r>
  <r>
    <x v="24"/>
    <x v="160"/>
    <x v="0"/>
    <x v="4"/>
    <x v="4"/>
    <x v="6"/>
    <x v="3"/>
    <x v="49"/>
  </r>
  <r>
    <x v="24"/>
    <x v="160"/>
    <x v="0"/>
    <x v="6"/>
    <x v="6"/>
    <x v="0"/>
    <x v="5"/>
    <x v="16"/>
  </r>
  <r>
    <x v="24"/>
    <x v="160"/>
    <x v="0"/>
    <x v="7"/>
    <x v="7"/>
    <x v="5"/>
    <x v="6"/>
    <x v="18"/>
  </r>
  <r>
    <x v="24"/>
    <x v="160"/>
    <x v="5"/>
    <x v="156"/>
    <x v="157"/>
    <x v="0"/>
    <x v="18"/>
    <x v="27"/>
  </r>
  <r>
    <x v="24"/>
    <x v="160"/>
    <x v="1"/>
    <x v="65"/>
    <x v="65"/>
    <x v="0"/>
    <x v="7"/>
    <x v="7"/>
  </r>
  <r>
    <x v="24"/>
    <x v="160"/>
    <x v="1"/>
    <x v="8"/>
    <x v="8"/>
    <x v="0"/>
    <x v="7"/>
    <x v="7"/>
  </r>
  <r>
    <x v="24"/>
    <x v="160"/>
    <x v="1"/>
    <x v="17"/>
    <x v="17"/>
    <x v="0"/>
    <x v="10"/>
    <x v="11"/>
  </r>
  <r>
    <x v="24"/>
    <x v="160"/>
    <x v="1"/>
    <x v="58"/>
    <x v="58"/>
    <x v="0"/>
    <x v="8"/>
    <x v="8"/>
  </r>
  <r>
    <x v="24"/>
    <x v="160"/>
    <x v="3"/>
    <x v="11"/>
    <x v="11"/>
    <x v="7"/>
    <x v="8"/>
    <x v="24"/>
  </r>
  <r>
    <x v="24"/>
    <x v="160"/>
    <x v="3"/>
    <x v="25"/>
    <x v="25"/>
    <x v="0"/>
    <x v="8"/>
    <x v="8"/>
  </r>
  <r>
    <x v="24"/>
    <x v="160"/>
    <x v="3"/>
    <x v="12"/>
    <x v="12"/>
    <x v="0"/>
    <x v="8"/>
    <x v="8"/>
  </r>
  <r>
    <x v="24"/>
    <x v="160"/>
    <x v="3"/>
    <x v="14"/>
    <x v="14"/>
    <x v="0"/>
    <x v="8"/>
    <x v="8"/>
  </r>
  <r>
    <x v="24"/>
    <x v="160"/>
    <x v="3"/>
    <x v="30"/>
    <x v="30"/>
    <x v="1"/>
    <x v="8"/>
    <x v="21"/>
  </r>
  <r>
    <x v="24"/>
    <x v="160"/>
    <x v="3"/>
    <x v="34"/>
    <x v="34"/>
    <x v="0"/>
    <x v="8"/>
    <x v="8"/>
  </r>
  <r>
    <x v="24"/>
    <x v="160"/>
    <x v="3"/>
    <x v="53"/>
    <x v="53"/>
    <x v="0"/>
    <x v="8"/>
    <x v="8"/>
  </r>
  <r>
    <x v="25"/>
    <x v="161"/>
    <x v="11"/>
    <x v="157"/>
    <x v="158"/>
    <x v="0"/>
    <x v="41"/>
    <x v="96"/>
  </r>
  <r>
    <x v="25"/>
    <x v="162"/>
    <x v="0"/>
    <x v="0"/>
    <x v="0"/>
    <x v="0"/>
    <x v="0"/>
    <x v="0"/>
  </r>
  <r>
    <x v="25"/>
    <x v="162"/>
    <x v="0"/>
    <x v="6"/>
    <x v="6"/>
    <x v="1"/>
    <x v="5"/>
    <x v="5"/>
  </r>
  <r>
    <x v="25"/>
    <x v="162"/>
    <x v="0"/>
    <x v="7"/>
    <x v="7"/>
    <x v="1"/>
    <x v="6"/>
    <x v="23"/>
  </r>
  <r>
    <x v="25"/>
    <x v="162"/>
    <x v="1"/>
    <x v="66"/>
    <x v="66"/>
    <x v="0"/>
    <x v="8"/>
    <x v="8"/>
  </r>
  <r>
    <x v="25"/>
    <x v="162"/>
    <x v="2"/>
    <x v="10"/>
    <x v="10"/>
    <x v="3"/>
    <x v="9"/>
    <x v="9"/>
  </r>
  <r>
    <x v="25"/>
    <x v="162"/>
    <x v="4"/>
    <x v="35"/>
    <x v="35"/>
    <x v="0"/>
    <x v="17"/>
    <x v="24"/>
  </r>
  <r>
    <x v="25"/>
    <x v="162"/>
    <x v="3"/>
    <x v="11"/>
    <x v="11"/>
    <x v="5"/>
    <x v="8"/>
    <x v="1"/>
  </r>
  <r>
    <x v="25"/>
    <x v="162"/>
    <x v="3"/>
    <x v="28"/>
    <x v="28"/>
    <x v="0"/>
    <x v="8"/>
    <x v="8"/>
  </r>
  <r>
    <x v="25"/>
    <x v="162"/>
    <x v="3"/>
    <x v="31"/>
    <x v="31"/>
    <x v="0"/>
    <x v="10"/>
    <x v="11"/>
  </r>
  <r>
    <x v="25"/>
    <x v="163"/>
    <x v="0"/>
    <x v="126"/>
    <x v="127"/>
    <x v="0"/>
    <x v="35"/>
    <x v="87"/>
  </r>
  <r>
    <x v="25"/>
    <x v="163"/>
    <x v="0"/>
    <x v="4"/>
    <x v="4"/>
    <x v="1"/>
    <x v="3"/>
    <x v="3"/>
  </r>
  <r>
    <x v="25"/>
    <x v="163"/>
    <x v="0"/>
    <x v="7"/>
    <x v="7"/>
    <x v="3"/>
    <x v="6"/>
    <x v="69"/>
  </r>
  <r>
    <x v="25"/>
    <x v="163"/>
    <x v="1"/>
    <x v="96"/>
    <x v="97"/>
    <x v="0"/>
    <x v="8"/>
    <x v="8"/>
  </r>
  <r>
    <x v="25"/>
    <x v="163"/>
    <x v="2"/>
    <x v="24"/>
    <x v="24"/>
    <x v="8"/>
    <x v="16"/>
    <x v="63"/>
  </r>
  <r>
    <x v="25"/>
    <x v="163"/>
    <x v="2"/>
    <x v="18"/>
    <x v="18"/>
    <x v="1"/>
    <x v="11"/>
    <x v="61"/>
  </r>
  <r>
    <x v="25"/>
    <x v="163"/>
    <x v="2"/>
    <x v="19"/>
    <x v="19"/>
    <x v="9"/>
    <x v="12"/>
    <x v="97"/>
  </r>
  <r>
    <x v="25"/>
    <x v="163"/>
    <x v="3"/>
    <x v="11"/>
    <x v="11"/>
    <x v="3"/>
    <x v="8"/>
    <x v="55"/>
  </r>
  <r>
    <x v="25"/>
    <x v="163"/>
    <x v="3"/>
    <x v="27"/>
    <x v="27"/>
    <x v="1"/>
    <x v="8"/>
    <x v="21"/>
  </r>
  <r>
    <x v="25"/>
    <x v="163"/>
    <x v="3"/>
    <x v="28"/>
    <x v="28"/>
    <x v="0"/>
    <x v="8"/>
    <x v="8"/>
  </r>
  <r>
    <x v="25"/>
    <x v="163"/>
    <x v="3"/>
    <x v="13"/>
    <x v="13"/>
    <x v="0"/>
    <x v="8"/>
    <x v="8"/>
  </r>
  <r>
    <x v="25"/>
    <x v="163"/>
    <x v="3"/>
    <x v="30"/>
    <x v="30"/>
    <x v="0"/>
    <x v="8"/>
    <x v="8"/>
  </r>
  <r>
    <x v="25"/>
    <x v="163"/>
    <x v="3"/>
    <x v="53"/>
    <x v="53"/>
    <x v="1"/>
    <x v="8"/>
    <x v="21"/>
  </r>
  <r>
    <x v="25"/>
    <x v="163"/>
    <x v="3"/>
    <x v="77"/>
    <x v="77"/>
    <x v="0"/>
    <x v="8"/>
    <x v="8"/>
  </r>
  <r>
    <x v="25"/>
    <x v="164"/>
    <x v="0"/>
    <x v="39"/>
    <x v="39"/>
    <x v="1"/>
    <x v="17"/>
    <x v="40"/>
  </r>
  <r>
    <x v="25"/>
    <x v="165"/>
    <x v="0"/>
    <x v="87"/>
    <x v="87"/>
    <x v="0"/>
    <x v="30"/>
    <x v="65"/>
  </r>
  <r>
    <x v="25"/>
    <x v="165"/>
    <x v="0"/>
    <x v="4"/>
    <x v="4"/>
    <x v="7"/>
    <x v="3"/>
    <x v="39"/>
  </r>
  <r>
    <x v="25"/>
    <x v="165"/>
    <x v="0"/>
    <x v="6"/>
    <x v="6"/>
    <x v="5"/>
    <x v="5"/>
    <x v="47"/>
  </r>
  <r>
    <x v="25"/>
    <x v="165"/>
    <x v="0"/>
    <x v="7"/>
    <x v="7"/>
    <x v="2"/>
    <x v="6"/>
    <x v="6"/>
  </r>
  <r>
    <x v="25"/>
    <x v="165"/>
    <x v="3"/>
    <x v="12"/>
    <x v="12"/>
    <x v="0"/>
    <x v="8"/>
    <x v="8"/>
  </r>
  <r>
    <x v="25"/>
    <x v="165"/>
    <x v="3"/>
    <x v="89"/>
    <x v="89"/>
    <x v="0"/>
    <x v="31"/>
    <x v="21"/>
  </r>
  <r>
    <x v="25"/>
    <x v="165"/>
    <x v="3"/>
    <x v="27"/>
    <x v="27"/>
    <x v="0"/>
    <x v="8"/>
    <x v="8"/>
  </r>
  <r>
    <x v="25"/>
    <x v="165"/>
    <x v="3"/>
    <x v="30"/>
    <x v="30"/>
    <x v="0"/>
    <x v="8"/>
    <x v="8"/>
  </r>
  <r>
    <x v="25"/>
    <x v="165"/>
    <x v="3"/>
    <x v="62"/>
    <x v="62"/>
    <x v="0"/>
    <x v="8"/>
    <x v="8"/>
  </r>
  <r>
    <x v="25"/>
    <x v="165"/>
    <x v="3"/>
    <x v="34"/>
    <x v="34"/>
    <x v="0"/>
    <x v="8"/>
    <x v="8"/>
  </r>
  <r>
    <x v="25"/>
    <x v="166"/>
    <x v="0"/>
    <x v="7"/>
    <x v="7"/>
    <x v="1"/>
    <x v="6"/>
    <x v="23"/>
  </r>
  <r>
    <x v="25"/>
    <x v="166"/>
    <x v="2"/>
    <x v="24"/>
    <x v="24"/>
    <x v="17"/>
    <x v="16"/>
    <x v="85"/>
  </r>
  <r>
    <x v="25"/>
    <x v="166"/>
    <x v="2"/>
    <x v="40"/>
    <x v="40"/>
    <x v="7"/>
    <x v="16"/>
    <x v="26"/>
  </r>
  <r>
    <x v="25"/>
    <x v="166"/>
    <x v="2"/>
    <x v="19"/>
    <x v="19"/>
    <x v="5"/>
    <x v="12"/>
    <x v="48"/>
  </r>
  <r>
    <x v="25"/>
    <x v="166"/>
    <x v="2"/>
    <x v="55"/>
    <x v="55"/>
    <x v="0"/>
    <x v="9"/>
    <x v="41"/>
  </r>
  <r>
    <x v="25"/>
    <x v="166"/>
    <x v="3"/>
    <x v="12"/>
    <x v="12"/>
    <x v="1"/>
    <x v="8"/>
    <x v="21"/>
  </r>
  <r>
    <x v="25"/>
    <x v="167"/>
    <x v="0"/>
    <x v="1"/>
    <x v="1"/>
    <x v="0"/>
    <x v="1"/>
    <x v="1"/>
  </r>
  <r>
    <x v="25"/>
    <x v="167"/>
    <x v="0"/>
    <x v="50"/>
    <x v="50"/>
    <x v="0"/>
    <x v="22"/>
    <x v="35"/>
  </r>
  <r>
    <x v="25"/>
    <x v="167"/>
    <x v="0"/>
    <x v="4"/>
    <x v="4"/>
    <x v="0"/>
    <x v="3"/>
    <x v="22"/>
  </r>
  <r>
    <x v="25"/>
    <x v="167"/>
    <x v="0"/>
    <x v="6"/>
    <x v="6"/>
    <x v="5"/>
    <x v="5"/>
    <x v="47"/>
  </r>
  <r>
    <x v="25"/>
    <x v="167"/>
    <x v="0"/>
    <x v="7"/>
    <x v="7"/>
    <x v="2"/>
    <x v="6"/>
    <x v="6"/>
  </r>
  <r>
    <x v="25"/>
    <x v="167"/>
    <x v="3"/>
    <x v="11"/>
    <x v="11"/>
    <x v="0"/>
    <x v="8"/>
    <x v="8"/>
  </r>
  <r>
    <x v="25"/>
    <x v="167"/>
    <x v="3"/>
    <x v="12"/>
    <x v="12"/>
    <x v="0"/>
    <x v="8"/>
    <x v="8"/>
  </r>
  <r>
    <x v="25"/>
    <x v="167"/>
    <x v="3"/>
    <x v="73"/>
    <x v="73"/>
    <x v="0"/>
    <x v="8"/>
    <x v="8"/>
  </r>
  <r>
    <x v="25"/>
    <x v="167"/>
    <x v="3"/>
    <x v="26"/>
    <x v="26"/>
    <x v="0"/>
    <x v="8"/>
    <x v="8"/>
  </r>
  <r>
    <x v="25"/>
    <x v="167"/>
    <x v="3"/>
    <x v="89"/>
    <x v="89"/>
    <x v="0"/>
    <x v="31"/>
    <x v="21"/>
  </r>
  <r>
    <x v="25"/>
    <x v="167"/>
    <x v="3"/>
    <x v="27"/>
    <x v="27"/>
    <x v="1"/>
    <x v="8"/>
    <x v="21"/>
  </r>
  <r>
    <x v="25"/>
    <x v="167"/>
    <x v="3"/>
    <x v="14"/>
    <x v="14"/>
    <x v="1"/>
    <x v="8"/>
    <x v="21"/>
  </r>
  <r>
    <x v="25"/>
    <x v="167"/>
    <x v="3"/>
    <x v="33"/>
    <x v="33"/>
    <x v="0"/>
    <x v="8"/>
    <x v="8"/>
  </r>
  <r>
    <x v="25"/>
    <x v="167"/>
    <x v="3"/>
    <x v="53"/>
    <x v="53"/>
    <x v="0"/>
    <x v="8"/>
    <x v="8"/>
  </r>
  <r>
    <x v="25"/>
    <x v="167"/>
    <x v="3"/>
    <x v="77"/>
    <x v="77"/>
    <x v="0"/>
    <x v="8"/>
    <x v="8"/>
  </r>
  <r>
    <x v="25"/>
    <x v="168"/>
    <x v="0"/>
    <x v="81"/>
    <x v="81"/>
    <x v="0"/>
    <x v="27"/>
    <x v="57"/>
  </r>
  <r>
    <x v="25"/>
    <x v="168"/>
    <x v="0"/>
    <x v="4"/>
    <x v="4"/>
    <x v="9"/>
    <x v="3"/>
    <x v="93"/>
  </r>
  <r>
    <x v="25"/>
    <x v="168"/>
    <x v="0"/>
    <x v="6"/>
    <x v="6"/>
    <x v="1"/>
    <x v="5"/>
    <x v="5"/>
  </r>
  <r>
    <x v="25"/>
    <x v="168"/>
    <x v="0"/>
    <x v="7"/>
    <x v="7"/>
    <x v="6"/>
    <x v="6"/>
    <x v="50"/>
  </r>
  <r>
    <x v="25"/>
    <x v="168"/>
    <x v="1"/>
    <x v="65"/>
    <x v="65"/>
    <x v="0"/>
    <x v="7"/>
    <x v="7"/>
  </r>
  <r>
    <x v="25"/>
    <x v="168"/>
    <x v="1"/>
    <x v="94"/>
    <x v="95"/>
    <x v="0"/>
    <x v="8"/>
    <x v="8"/>
  </r>
  <r>
    <x v="25"/>
    <x v="168"/>
    <x v="1"/>
    <x v="71"/>
    <x v="71"/>
    <x v="0"/>
    <x v="8"/>
    <x v="8"/>
  </r>
  <r>
    <x v="25"/>
    <x v="168"/>
    <x v="1"/>
    <x v="100"/>
    <x v="101"/>
    <x v="0"/>
    <x v="8"/>
    <x v="8"/>
  </r>
  <r>
    <x v="25"/>
    <x v="168"/>
    <x v="1"/>
    <x v="58"/>
    <x v="58"/>
    <x v="0"/>
    <x v="8"/>
    <x v="8"/>
  </r>
  <r>
    <x v="25"/>
    <x v="168"/>
    <x v="4"/>
    <x v="35"/>
    <x v="35"/>
    <x v="0"/>
    <x v="17"/>
    <x v="24"/>
  </r>
  <r>
    <x v="25"/>
    <x v="168"/>
    <x v="3"/>
    <x v="12"/>
    <x v="12"/>
    <x v="0"/>
    <x v="8"/>
    <x v="8"/>
  </r>
  <r>
    <x v="25"/>
    <x v="168"/>
    <x v="3"/>
    <x v="28"/>
    <x v="28"/>
    <x v="0"/>
    <x v="8"/>
    <x v="8"/>
  </r>
  <r>
    <x v="25"/>
    <x v="168"/>
    <x v="3"/>
    <x v="13"/>
    <x v="13"/>
    <x v="0"/>
    <x v="8"/>
    <x v="8"/>
  </r>
  <r>
    <x v="25"/>
    <x v="168"/>
    <x v="3"/>
    <x v="14"/>
    <x v="14"/>
    <x v="1"/>
    <x v="8"/>
    <x v="21"/>
  </r>
  <r>
    <x v="25"/>
    <x v="168"/>
    <x v="3"/>
    <x v="30"/>
    <x v="30"/>
    <x v="5"/>
    <x v="8"/>
    <x v="1"/>
  </r>
  <r>
    <x v="25"/>
    <x v="168"/>
    <x v="3"/>
    <x v="15"/>
    <x v="15"/>
    <x v="0"/>
    <x v="8"/>
    <x v="8"/>
  </r>
  <r>
    <x v="25"/>
    <x v="168"/>
    <x v="3"/>
    <x v="53"/>
    <x v="53"/>
    <x v="0"/>
    <x v="8"/>
    <x v="8"/>
  </r>
  <r>
    <x v="26"/>
    <x v="169"/>
    <x v="0"/>
    <x v="4"/>
    <x v="4"/>
    <x v="2"/>
    <x v="3"/>
    <x v="15"/>
  </r>
  <r>
    <x v="26"/>
    <x v="169"/>
    <x v="0"/>
    <x v="6"/>
    <x v="6"/>
    <x v="0"/>
    <x v="5"/>
    <x v="16"/>
  </r>
  <r>
    <x v="26"/>
    <x v="169"/>
    <x v="0"/>
    <x v="7"/>
    <x v="7"/>
    <x v="5"/>
    <x v="6"/>
    <x v="18"/>
  </r>
  <r>
    <x v="26"/>
    <x v="169"/>
    <x v="0"/>
    <x v="39"/>
    <x v="39"/>
    <x v="0"/>
    <x v="17"/>
    <x v="24"/>
  </r>
  <r>
    <x v="26"/>
    <x v="169"/>
    <x v="2"/>
    <x v="18"/>
    <x v="18"/>
    <x v="1"/>
    <x v="11"/>
    <x v="61"/>
  </r>
  <r>
    <x v="26"/>
    <x v="169"/>
    <x v="2"/>
    <x v="10"/>
    <x v="10"/>
    <x v="9"/>
    <x v="9"/>
    <x v="83"/>
  </r>
  <r>
    <x v="26"/>
    <x v="169"/>
    <x v="2"/>
    <x v="19"/>
    <x v="19"/>
    <x v="3"/>
    <x v="12"/>
    <x v="98"/>
  </r>
  <r>
    <x v="26"/>
    <x v="169"/>
    <x v="3"/>
    <x v="11"/>
    <x v="11"/>
    <x v="5"/>
    <x v="8"/>
    <x v="1"/>
  </r>
  <r>
    <x v="26"/>
    <x v="169"/>
    <x v="3"/>
    <x v="13"/>
    <x v="13"/>
    <x v="1"/>
    <x v="8"/>
    <x v="21"/>
  </r>
  <r>
    <x v="26"/>
    <x v="169"/>
    <x v="3"/>
    <x v="29"/>
    <x v="29"/>
    <x v="0"/>
    <x v="8"/>
    <x v="8"/>
  </r>
  <r>
    <x v="26"/>
    <x v="169"/>
    <x v="3"/>
    <x v="14"/>
    <x v="14"/>
    <x v="0"/>
    <x v="8"/>
    <x v="8"/>
  </r>
  <r>
    <x v="26"/>
    <x v="169"/>
    <x v="3"/>
    <x v="30"/>
    <x v="30"/>
    <x v="0"/>
    <x v="8"/>
    <x v="8"/>
  </r>
  <r>
    <x v="26"/>
    <x v="170"/>
    <x v="0"/>
    <x v="4"/>
    <x v="4"/>
    <x v="0"/>
    <x v="3"/>
    <x v="22"/>
  </r>
  <r>
    <x v="26"/>
    <x v="170"/>
    <x v="0"/>
    <x v="6"/>
    <x v="6"/>
    <x v="7"/>
    <x v="5"/>
    <x v="37"/>
  </r>
  <r>
    <x v="26"/>
    <x v="170"/>
    <x v="0"/>
    <x v="7"/>
    <x v="7"/>
    <x v="6"/>
    <x v="6"/>
    <x v="50"/>
  </r>
  <r>
    <x v="26"/>
    <x v="170"/>
    <x v="0"/>
    <x v="37"/>
    <x v="37"/>
    <x v="0"/>
    <x v="14"/>
    <x v="17"/>
  </r>
  <r>
    <x v="26"/>
    <x v="170"/>
    <x v="1"/>
    <x v="158"/>
    <x v="159"/>
    <x v="0"/>
    <x v="8"/>
    <x v="8"/>
  </r>
  <r>
    <x v="26"/>
    <x v="170"/>
    <x v="1"/>
    <x v="65"/>
    <x v="65"/>
    <x v="0"/>
    <x v="7"/>
    <x v="7"/>
  </r>
  <r>
    <x v="26"/>
    <x v="170"/>
    <x v="1"/>
    <x v="58"/>
    <x v="58"/>
    <x v="0"/>
    <x v="8"/>
    <x v="8"/>
  </r>
  <r>
    <x v="26"/>
    <x v="170"/>
    <x v="4"/>
    <x v="59"/>
    <x v="59"/>
    <x v="0"/>
    <x v="18"/>
    <x v="27"/>
  </r>
  <r>
    <x v="26"/>
    <x v="170"/>
    <x v="3"/>
    <x v="159"/>
    <x v="160"/>
    <x v="0"/>
    <x v="8"/>
    <x v="8"/>
  </r>
  <r>
    <x v="26"/>
    <x v="170"/>
    <x v="3"/>
    <x v="11"/>
    <x v="11"/>
    <x v="11"/>
    <x v="8"/>
    <x v="99"/>
  </r>
  <r>
    <x v="26"/>
    <x v="170"/>
    <x v="3"/>
    <x v="61"/>
    <x v="61"/>
    <x v="0"/>
    <x v="8"/>
    <x v="8"/>
  </r>
  <r>
    <x v="26"/>
    <x v="170"/>
    <x v="3"/>
    <x v="27"/>
    <x v="27"/>
    <x v="7"/>
    <x v="8"/>
    <x v="24"/>
  </r>
  <r>
    <x v="26"/>
    <x v="170"/>
    <x v="3"/>
    <x v="98"/>
    <x v="99"/>
    <x v="0"/>
    <x v="8"/>
    <x v="8"/>
  </r>
  <r>
    <x v="26"/>
    <x v="170"/>
    <x v="3"/>
    <x v="13"/>
    <x v="13"/>
    <x v="0"/>
    <x v="8"/>
    <x v="8"/>
  </r>
  <r>
    <x v="26"/>
    <x v="170"/>
    <x v="3"/>
    <x v="14"/>
    <x v="14"/>
    <x v="0"/>
    <x v="8"/>
    <x v="8"/>
  </r>
  <r>
    <x v="26"/>
    <x v="170"/>
    <x v="3"/>
    <x v="30"/>
    <x v="30"/>
    <x v="0"/>
    <x v="8"/>
    <x v="8"/>
  </r>
  <r>
    <x v="26"/>
    <x v="170"/>
    <x v="3"/>
    <x v="31"/>
    <x v="31"/>
    <x v="0"/>
    <x v="10"/>
    <x v="11"/>
  </r>
  <r>
    <x v="26"/>
    <x v="170"/>
    <x v="3"/>
    <x v="53"/>
    <x v="53"/>
    <x v="0"/>
    <x v="8"/>
    <x v="8"/>
  </r>
  <r>
    <x v="26"/>
    <x v="171"/>
    <x v="0"/>
    <x v="4"/>
    <x v="4"/>
    <x v="0"/>
    <x v="3"/>
    <x v="22"/>
  </r>
  <r>
    <x v="26"/>
    <x v="171"/>
    <x v="0"/>
    <x v="39"/>
    <x v="39"/>
    <x v="0"/>
    <x v="17"/>
    <x v="24"/>
  </r>
  <r>
    <x v="26"/>
    <x v="172"/>
    <x v="0"/>
    <x v="4"/>
    <x v="4"/>
    <x v="7"/>
    <x v="3"/>
    <x v="39"/>
  </r>
  <r>
    <x v="26"/>
    <x v="172"/>
    <x v="0"/>
    <x v="6"/>
    <x v="6"/>
    <x v="1"/>
    <x v="5"/>
    <x v="5"/>
  </r>
  <r>
    <x v="26"/>
    <x v="172"/>
    <x v="0"/>
    <x v="7"/>
    <x v="7"/>
    <x v="2"/>
    <x v="6"/>
    <x v="6"/>
  </r>
  <r>
    <x v="26"/>
    <x v="172"/>
    <x v="3"/>
    <x v="12"/>
    <x v="12"/>
    <x v="0"/>
    <x v="8"/>
    <x v="8"/>
  </r>
  <r>
    <x v="26"/>
    <x v="172"/>
    <x v="3"/>
    <x v="27"/>
    <x v="27"/>
    <x v="5"/>
    <x v="8"/>
    <x v="1"/>
  </r>
  <r>
    <x v="26"/>
    <x v="172"/>
    <x v="3"/>
    <x v="28"/>
    <x v="28"/>
    <x v="0"/>
    <x v="8"/>
    <x v="8"/>
  </r>
  <r>
    <x v="26"/>
    <x v="172"/>
    <x v="3"/>
    <x v="13"/>
    <x v="13"/>
    <x v="0"/>
    <x v="8"/>
    <x v="8"/>
  </r>
  <r>
    <x v="26"/>
    <x v="172"/>
    <x v="3"/>
    <x v="31"/>
    <x v="31"/>
    <x v="1"/>
    <x v="10"/>
    <x v="28"/>
  </r>
  <r>
    <x v="26"/>
    <x v="172"/>
    <x v="3"/>
    <x v="34"/>
    <x v="34"/>
    <x v="0"/>
    <x v="8"/>
    <x v="8"/>
  </r>
  <r>
    <x v="26"/>
    <x v="172"/>
    <x v="3"/>
    <x v="53"/>
    <x v="53"/>
    <x v="0"/>
    <x v="8"/>
    <x v="8"/>
  </r>
  <r>
    <x v="26"/>
    <x v="172"/>
    <x v="3"/>
    <x v="77"/>
    <x v="77"/>
    <x v="0"/>
    <x v="8"/>
    <x v="8"/>
  </r>
  <r>
    <x v="26"/>
    <x v="173"/>
    <x v="4"/>
    <x v="41"/>
    <x v="41"/>
    <x v="0"/>
    <x v="18"/>
    <x v="27"/>
  </r>
  <r>
    <x v="26"/>
    <x v="174"/>
    <x v="10"/>
    <x v="160"/>
    <x v="161"/>
    <x v="0"/>
    <x v="41"/>
    <x v="96"/>
  </r>
  <r>
    <x v="26"/>
    <x v="175"/>
    <x v="0"/>
    <x v="95"/>
    <x v="96"/>
    <x v="0"/>
    <x v="1"/>
    <x v="1"/>
  </r>
  <r>
    <x v="26"/>
    <x v="175"/>
    <x v="0"/>
    <x v="161"/>
    <x v="162"/>
    <x v="0"/>
    <x v="33"/>
    <x v="71"/>
  </r>
  <r>
    <x v="26"/>
    <x v="175"/>
    <x v="0"/>
    <x v="162"/>
    <x v="163"/>
    <x v="0"/>
    <x v="19"/>
    <x v="28"/>
  </r>
  <r>
    <x v="26"/>
    <x v="175"/>
    <x v="0"/>
    <x v="86"/>
    <x v="86"/>
    <x v="0"/>
    <x v="17"/>
    <x v="24"/>
  </r>
  <r>
    <x v="26"/>
    <x v="175"/>
    <x v="0"/>
    <x v="4"/>
    <x v="4"/>
    <x v="5"/>
    <x v="3"/>
    <x v="46"/>
  </r>
  <r>
    <x v="26"/>
    <x v="175"/>
    <x v="0"/>
    <x v="43"/>
    <x v="94"/>
    <x v="0"/>
    <x v="19"/>
    <x v="28"/>
  </r>
  <r>
    <x v="26"/>
    <x v="175"/>
    <x v="0"/>
    <x v="6"/>
    <x v="6"/>
    <x v="5"/>
    <x v="5"/>
    <x v="47"/>
  </r>
  <r>
    <x v="26"/>
    <x v="175"/>
    <x v="0"/>
    <x v="21"/>
    <x v="21"/>
    <x v="0"/>
    <x v="14"/>
    <x v="17"/>
  </r>
  <r>
    <x v="26"/>
    <x v="175"/>
    <x v="0"/>
    <x v="7"/>
    <x v="7"/>
    <x v="2"/>
    <x v="6"/>
    <x v="6"/>
  </r>
  <r>
    <x v="26"/>
    <x v="175"/>
    <x v="5"/>
    <x v="44"/>
    <x v="44"/>
    <x v="0"/>
    <x v="0"/>
    <x v="0"/>
  </r>
  <r>
    <x v="26"/>
    <x v="175"/>
    <x v="1"/>
    <x v="63"/>
    <x v="63"/>
    <x v="0"/>
    <x v="8"/>
    <x v="8"/>
  </r>
  <r>
    <x v="26"/>
    <x v="175"/>
    <x v="2"/>
    <x v="24"/>
    <x v="24"/>
    <x v="14"/>
    <x v="16"/>
    <x v="77"/>
  </r>
  <r>
    <x v="26"/>
    <x v="175"/>
    <x v="2"/>
    <x v="18"/>
    <x v="18"/>
    <x v="0"/>
    <x v="11"/>
    <x v="12"/>
  </r>
  <r>
    <x v="26"/>
    <x v="175"/>
    <x v="2"/>
    <x v="40"/>
    <x v="40"/>
    <x v="5"/>
    <x v="16"/>
    <x v="100"/>
  </r>
  <r>
    <x v="26"/>
    <x v="175"/>
    <x v="2"/>
    <x v="19"/>
    <x v="19"/>
    <x v="5"/>
    <x v="12"/>
    <x v="48"/>
  </r>
  <r>
    <x v="26"/>
    <x v="175"/>
    <x v="2"/>
    <x v="20"/>
    <x v="20"/>
    <x v="0"/>
    <x v="13"/>
    <x v="14"/>
  </r>
  <r>
    <x v="26"/>
    <x v="175"/>
    <x v="2"/>
    <x v="55"/>
    <x v="55"/>
    <x v="0"/>
    <x v="9"/>
    <x v="41"/>
  </r>
  <r>
    <x v="26"/>
    <x v="175"/>
    <x v="3"/>
    <x v="11"/>
    <x v="11"/>
    <x v="1"/>
    <x v="8"/>
    <x v="21"/>
  </r>
  <r>
    <x v="26"/>
    <x v="175"/>
    <x v="3"/>
    <x v="12"/>
    <x v="12"/>
    <x v="0"/>
    <x v="8"/>
    <x v="8"/>
  </r>
  <r>
    <x v="26"/>
    <x v="175"/>
    <x v="3"/>
    <x v="89"/>
    <x v="89"/>
    <x v="0"/>
    <x v="31"/>
    <x v="21"/>
  </r>
  <r>
    <x v="26"/>
    <x v="175"/>
    <x v="3"/>
    <x v="13"/>
    <x v="13"/>
    <x v="0"/>
    <x v="8"/>
    <x v="8"/>
  </r>
  <r>
    <x v="26"/>
    <x v="175"/>
    <x v="3"/>
    <x v="14"/>
    <x v="14"/>
    <x v="0"/>
    <x v="8"/>
    <x v="8"/>
  </r>
  <r>
    <x v="26"/>
    <x v="175"/>
    <x v="3"/>
    <x v="30"/>
    <x v="30"/>
    <x v="0"/>
    <x v="8"/>
    <x v="8"/>
  </r>
  <r>
    <x v="26"/>
    <x v="175"/>
    <x v="3"/>
    <x v="34"/>
    <x v="34"/>
    <x v="0"/>
    <x v="8"/>
    <x v="8"/>
  </r>
  <r>
    <x v="26"/>
    <x v="175"/>
    <x v="3"/>
    <x v="53"/>
    <x v="53"/>
    <x v="0"/>
    <x v="8"/>
    <x v="8"/>
  </r>
  <r>
    <x v="26"/>
    <x v="175"/>
    <x v="3"/>
    <x v="75"/>
    <x v="75"/>
    <x v="0"/>
    <x v="8"/>
    <x v="8"/>
  </r>
  <r>
    <x v="26"/>
    <x v="175"/>
    <x v="3"/>
    <x v="77"/>
    <x v="77"/>
    <x v="0"/>
    <x v="8"/>
    <x v="8"/>
  </r>
  <r>
    <x v="26"/>
    <x v="176"/>
    <x v="10"/>
    <x v="163"/>
    <x v="164"/>
    <x v="0"/>
    <x v="41"/>
    <x v="96"/>
  </r>
  <r>
    <x v="26"/>
    <x v="177"/>
    <x v="0"/>
    <x v="153"/>
    <x v="154"/>
    <x v="0"/>
    <x v="40"/>
    <x v="95"/>
  </r>
  <r>
    <x v="26"/>
    <x v="177"/>
    <x v="0"/>
    <x v="85"/>
    <x v="85"/>
    <x v="0"/>
    <x v="29"/>
    <x v="64"/>
  </r>
  <r>
    <x v="26"/>
    <x v="177"/>
    <x v="0"/>
    <x v="4"/>
    <x v="4"/>
    <x v="7"/>
    <x v="3"/>
    <x v="39"/>
  </r>
  <r>
    <x v="26"/>
    <x v="177"/>
    <x v="0"/>
    <x v="6"/>
    <x v="6"/>
    <x v="5"/>
    <x v="5"/>
    <x v="47"/>
  </r>
  <r>
    <x v="26"/>
    <x v="177"/>
    <x v="0"/>
    <x v="7"/>
    <x v="7"/>
    <x v="5"/>
    <x v="6"/>
    <x v="18"/>
  </r>
  <r>
    <x v="26"/>
    <x v="177"/>
    <x v="1"/>
    <x v="66"/>
    <x v="66"/>
    <x v="0"/>
    <x v="8"/>
    <x v="8"/>
  </r>
  <r>
    <x v="26"/>
    <x v="177"/>
    <x v="1"/>
    <x v="94"/>
    <x v="95"/>
    <x v="0"/>
    <x v="8"/>
    <x v="8"/>
  </r>
  <r>
    <x v="26"/>
    <x v="177"/>
    <x v="1"/>
    <x v="71"/>
    <x v="71"/>
    <x v="0"/>
    <x v="8"/>
    <x v="8"/>
  </r>
  <r>
    <x v="26"/>
    <x v="177"/>
    <x v="1"/>
    <x v="96"/>
    <x v="97"/>
    <x v="0"/>
    <x v="8"/>
    <x v="8"/>
  </r>
  <r>
    <x v="26"/>
    <x v="177"/>
    <x v="4"/>
    <x v="35"/>
    <x v="35"/>
    <x v="0"/>
    <x v="17"/>
    <x v="24"/>
  </r>
  <r>
    <x v="26"/>
    <x v="177"/>
    <x v="3"/>
    <x v="11"/>
    <x v="11"/>
    <x v="7"/>
    <x v="8"/>
    <x v="24"/>
  </r>
  <r>
    <x v="26"/>
    <x v="177"/>
    <x v="3"/>
    <x v="60"/>
    <x v="60"/>
    <x v="0"/>
    <x v="8"/>
    <x v="8"/>
  </r>
  <r>
    <x v="26"/>
    <x v="177"/>
    <x v="3"/>
    <x v="89"/>
    <x v="89"/>
    <x v="1"/>
    <x v="31"/>
    <x v="24"/>
  </r>
  <r>
    <x v="26"/>
    <x v="177"/>
    <x v="3"/>
    <x v="28"/>
    <x v="28"/>
    <x v="0"/>
    <x v="8"/>
    <x v="8"/>
  </r>
  <r>
    <x v="26"/>
    <x v="177"/>
    <x v="3"/>
    <x v="14"/>
    <x v="14"/>
    <x v="0"/>
    <x v="8"/>
    <x v="8"/>
  </r>
  <r>
    <x v="26"/>
    <x v="177"/>
    <x v="3"/>
    <x v="30"/>
    <x v="30"/>
    <x v="0"/>
    <x v="8"/>
    <x v="8"/>
  </r>
  <r>
    <x v="26"/>
    <x v="177"/>
    <x v="3"/>
    <x v="31"/>
    <x v="31"/>
    <x v="0"/>
    <x v="10"/>
    <x v="11"/>
  </r>
  <r>
    <x v="27"/>
    <x v="178"/>
    <x v="0"/>
    <x v="4"/>
    <x v="4"/>
    <x v="1"/>
    <x v="3"/>
    <x v="3"/>
  </r>
  <r>
    <x v="27"/>
    <x v="178"/>
    <x v="0"/>
    <x v="6"/>
    <x v="6"/>
    <x v="1"/>
    <x v="5"/>
    <x v="5"/>
  </r>
  <r>
    <x v="27"/>
    <x v="178"/>
    <x v="0"/>
    <x v="7"/>
    <x v="7"/>
    <x v="5"/>
    <x v="6"/>
    <x v="18"/>
  </r>
  <r>
    <x v="27"/>
    <x v="178"/>
    <x v="0"/>
    <x v="39"/>
    <x v="39"/>
    <x v="1"/>
    <x v="17"/>
    <x v="40"/>
  </r>
  <r>
    <x v="27"/>
    <x v="178"/>
    <x v="1"/>
    <x v="65"/>
    <x v="65"/>
    <x v="0"/>
    <x v="7"/>
    <x v="7"/>
  </r>
  <r>
    <x v="27"/>
    <x v="178"/>
    <x v="1"/>
    <x v="58"/>
    <x v="58"/>
    <x v="0"/>
    <x v="8"/>
    <x v="8"/>
  </r>
  <r>
    <x v="27"/>
    <x v="178"/>
    <x v="2"/>
    <x v="10"/>
    <x v="10"/>
    <x v="6"/>
    <x v="9"/>
    <x v="54"/>
  </r>
  <r>
    <x v="27"/>
    <x v="178"/>
    <x v="4"/>
    <x v="67"/>
    <x v="67"/>
    <x v="0"/>
    <x v="17"/>
    <x v="24"/>
  </r>
  <r>
    <x v="27"/>
    <x v="178"/>
    <x v="3"/>
    <x v="11"/>
    <x v="11"/>
    <x v="2"/>
    <x v="8"/>
    <x v="29"/>
  </r>
  <r>
    <x v="27"/>
    <x v="178"/>
    <x v="3"/>
    <x v="12"/>
    <x v="12"/>
    <x v="0"/>
    <x v="8"/>
    <x v="8"/>
  </r>
  <r>
    <x v="27"/>
    <x v="178"/>
    <x v="3"/>
    <x v="13"/>
    <x v="13"/>
    <x v="0"/>
    <x v="8"/>
    <x v="8"/>
  </r>
  <r>
    <x v="27"/>
    <x v="178"/>
    <x v="3"/>
    <x v="14"/>
    <x v="14"/>
    <x v="1"/>
    <x v="8"/>
    <x v="21"/>
  </r>
  <r>
    <x v="27"/>
    <x v="178"/>
    <x v="3"/>
    <x v="53"/>
    <x v="53"/>
    <x v="1"/>
    <x v="8"/>
    <x v="21"/>
  </r>
  <r>
    <x v="27"/>
    <x v="179"/>
    <x v="2"/>
    <x v="18"/>
    <x v="18"/>
    <x v="0"/>
    <x v="11"/>
    <x v="12"/>
  </r>
  <r>
    <x v="27"/>
    <x v="179"/>
    <x v="2"/>
    <x v="19"/>
    <x v="19"/>
    <x v="5"/>
    <x v="12"/>
    <x v="48"/>
  </r>
  <r>
    <x v="27"/>
    <x v="180"/>
    <x v="0"/>
    <x v="162"/>
    <x v="163"/>
    <x v="0"/>
    <x v="19"/>
    <x v="28"/>
  </r>
  <r>
    <x v="27"/>
    <x v="180"/>
    <x v="0"/>
    <x v="45"/>
    <x v="45"/>
    <x v="0"/>
    <x v="20"/>
    <x v="29"/>
  </r>
  <r>
    <x v="27"/>
    <x v="180"/>
    <x v="0"/>
    <x v="4"/>
    <x v="4"/>
    <x v="5"/>
    <x v="3"/>
    <x v="46"/>
  </r>
  <r>
    <x v="27"/>
    <x v="180"/>
    <x v="0"/>
    <x v="6"/>
    <x v="6"/>
    <x v="0"/>
    <x v="5"/>
    <x v="16"/>
  </r>
  <r>
    <x v="27"/>
    <x v="180"/>
    <x v="0"/>
    <x v="7"/>
    <x v="7"/>
    <x v="5"/>
    <x v="6"/>
    <x v="18"/>
  </r>
  <r>
    <x v="27"/>
    <x v="180"/>
    <x v="2"/>
    <x v="24"/>
    <x v="24"/>
    <x v="5"/>
    <x v="16"/>
    <x v="100"/>
  </r>
  <r>
    <x v="27"/>
    <x v="180"/>
    <x v="2"/>
    <x v="40"/>
    <x v="40"/>
    <x v="5"/>
    <x v="16"/>
    <x v="100"/>
  </r>
  <r>
    <x v="27"/>
    <x v="180"/>
    <x v="4"/>
    <x v="68"/>
    <x v="68"/>
    <x v="0"/>
    <x v="15"/>
    <x v="19"/>
  </r>
  <r>
    <x v="27"/>
    <x v="180"/>
    <x v="3"/>
    <x v="11"/>
    <x v="11"/>
    <x v="5"/>
    <x v="8"/>
    <x v="1"/>
  </r>
  <r>
    <x v="27"/>
    <x v="180"/>
    <x v="3"/>
    <x v="60"/>
    <x v="60"/>
    <x v="0"/>
    <x v="8"/>
    <x v="8"/>
  </r>
  <r>
    <x v="27"/>
    <x v="180"/>
    <x v="3"/>
    <x v="77"/>
    <x v="77"/>
    <x v="0"/>
    <x v="8"/>
    <x v="8"/>
  </r>
  <r>
    <x v="27"/>
    <x v="181"/>
    <x v="9"/>
    <x v="137"/>
    <x v="138"/>
    <x v="0"/>
    <x v="16"/>
    <x v="84"/>
  </r>
  <r>
    <x v="27"/>
    <x v="182"/>
    <x v="0"/>
    <x v="161"/>
    <x v="162"/>
    <x v="0"/>
    <x v="33"/>
    <x v="71"/>
  </r>
  <r>
    <x v="27"/>
    <x v="182"/>
    <x v="0"/>
    <x v="6"/>
    <x v="6"/>
    <x v="1"/>
    <x v="5"/>
    <x v="5"/>
  </r>
  <r>
    <x v="27"/>
    <x v="182"/>
    <x v="0"/>
    <x v="7"/>
    <x v="7"/>
    <x v="9"/>
    <x v="6"/>
    <x v="62"/>
  </r>
  <r>
    <x v="27"/>
    <x v="182"/>
    <x v="1"/>
    <x v="17"/>
    <x v="17"/>
    <x v="0"/>
    <x v="10"/>
    <x v="11"/>
  </r>
  <r>
    <x v="27"/>
    <x v="182"/>
    <x v="3"/>
    <x v="27"/>
    <x v="27"/>
    <x v="0"/>
    <x v="8"/>
    <x v="8"/>
  </r>
  <r>
    <x v="27"/>
    <x v="182"/>
    <x v="3"/>
    <x v="164"/>
    <x v="165"/>
    <x v="0"/>
    <x v="8"/>
    <x v="8"/>
  </r>
  <r>
    <x v="27"/>
    <x v="182"/>
    <x v="3"/>
    <x v="14"/>
    <x v="14"/>
    <x v="0"/>
    <x v="8"/>
    <x v="8"/>
  </r>
  <r>
    <x v="27"/>
    <x v="182"/>
    <x v="3"/>
    <x v="33"/>
    <x v="33"/>
    <x v="0"/>
    <x v="8"/>
    <x v="8"/>
  </r>
  <r>
    <x v="27"/>
    <x v="182"/>
    <x v="3"/>
    <x v="34"/>
    <x v="34"/>
    <x v="0"/>
    <x v="8"/>
    <x v="8"/>
  </r>
  <r>
    <x v="27"/>
    <x v="182"/>
    <x v="3"/>
    <x v="53"/>
    <x v="53"/>
    <x v="0"/>
    <x v="8"/>
    <x v="8"/>
  </r>
  <r>
    <x v="27"/>
    <x v="183"/>
    <x v="7"/>
    <x v="165"/>
    <x v="166"/>
    <x v="0"/>
    <x v="12"/>
    <x v="34"/>
  </r>
  <r>
    <x v="27"/>
    <x v="184"/>
    <x v="0"/>
    <x v="166"/>
    <x v="167"/>
    <x v="0"/>
    <x v="18"/>
    <x v="27"/>
  </r>
  <r>
    <x v="27"/>
    <x v="185"/>
    <x v="0"/>
    <x v="4"/>
    <x v="4"/>
    <x v="6"/>
    <x v="3"/>
    <x v="49"/>
  </r>
  <r>
    <x v="27"/>
    <x v="185"/>
    <x v="0"/>
    <x v="6"/>
    <x v="6"/>
    <x v="5"/>
    <x v="5"/>
    <x v="47"/>
  </r>
  <r>
    <x v="27"/>
    <x v="185"/>
    <x v="0"/>
    <x v="7"/>
    <x v="7"/>
    <x v="7"/>
    <x v="6"/>
    <x v="38"/>
  </r>
  <r>
    <x v="27"/>
    <x v="185"/>
    <x v="0"/>
    <x v="37"/>
    <x v="37"/>
    <x v="0"/>
    <x v="14"/>
    <x v="17"/>
  </r>
  <r>
    <x v="27"/>
    <x v="185"/>
    <x v="1"/>
    <x v="71"/>
    <x v="71"/>
    <x v="0"/>
    <x v="8"/>
    <x v="8"/>
  </r>
  <r>
    <x v="27"/>
    <x v="185"/>
    <x v="1"/>
    <x v="58"/>
    <x v="58"/>
    <x v="0"/>
    <x v="8"/>
    <x v="8"/>
  </r>
  <r>
    <x v="27"/>
    <x v="185"/>
    <x v="2"/>
    <x v="24"/>
    <x v="24"/>
    <x v="5"/>
    <x v="16"/>
    <x v="100"/>
  </r>
  <r>
    <x v="27"/>
    <x v="185"/>
    <x v="2"/>
    <x v="18"/>
    <x v="18"/>
    <x v="0"/>
    <x v="11"/>
    <x v="12"/>
  </r>
  <r>
    <x v="27"/>
    <x v="185"/>
    <x v="2"/>
    <x v="40"/>
    <x v="40"/>
    <x v="1"/>
    <x v="16"/>
    <x v="59"/>
  </r>
  <r>
    <x v="27"/>
    <x v="185"/>
    <x v="2"/>
    <x v="19"/>
    <x v="19"/>
    <x v="1"/>
    <x v="12"/>
    <x v="25"/>
  </r>
  <r>
    <x v="27"/>
    <x v="185"/>
    <x v="3"/>
    <x v="11"/>
    <x v="11"/>
    <x v="0"/>
    <x v="8"/>
    <x v="8"/>
  </r>
  <r>
    <x v="27"/>
    <x v="185"/>
    <x v="3"/>
    <x v="12"/>
    <x v="12"/>
    <x v="0"/>
    <x v="8"/>
    <x v="8"/>
  </r>
  <r>
    <x v="27"/>
    <x v="185"/>
    <x v="3"/>
    <x v="27"/>
    <x v="27"/>
    <x v="1"/>
    <x v="8"/>
    <x v="21"/>
  </r>
  <r>
    <x v="27"/>
    <x v="185"/>
    <x v="3"/>
    <x v="28"/>
    <x v="28"/>
    <x v="5"/>
    <x v="8"/>
    <x v="1"/>
  </r>
  <r>
    <x v="27"/>
    <x v="185"/>
    <x v="3"/>
    <x v="13"/>
    <x v="13"/>
    <x v="1"/>
    <x v="8"/>
    <x v="21"/>
  </r>
  <r>
    <x v="27"/>
    <x v="185"/>
    <x v="3"/>
    <x v="14"/>
    <x v="14"/>
    <x v="0"/>
    <x v="8"/>
    <x v="8"/>
  </r>
  <r>
    <x v="27"/>
    <x v="185"/>
    <x v="3"/>
    <x v="34"/>
    <x v="34"/>
    <x v="1"/>
    <x v="8"/>
    <x v="21"/>
  </r>
  <r>
    <x v="27"/>
    <x v="185"/>
    <x v="3"/>
    <x v="77"/>
    <x v="77"/>
    <x v="0"/>
    <x v="8"/>
    <x v="8"/>
  </r>
  <r>
    <x v="27"/>
    <x v="186"/>
    <x v="0"/>
    <x v="4"/>
    <x v="4"/>
    <x v="0"/>
    <x v="3"/>
    <x v="22"/>
  </r>
  <r>
    <x v="27"/>
    <x v="186"/>
    <x v="0"/>
    <x v="6"/>
    <x v="6"/>
    <x v="1"/>
    <x v="5"/>
    <x v="5"/>
  </r>
  <r>
    <x v="27"/>
    <x v="186"/>
    <x v="0"/>
    <x v="7"/>
    <x v="7"/>
    <x v="6"/>
    <x v="6"/>
    <x v="50"/>
  </r>
  <r>
    <x v="27"/>
    <x v="186"/>
    <x v="0"/>
    <x v="39"/>
    <x v="39"/>
    <x v="1"/>
    <x v="17"/>
    <x v="40"/>
  </r>
  <r>
    <x v="27"/>
    <x v="186"/>
    <x v="1"/>
    <x v="100"/>
    <x v="101"/>
    <x v="0"/>
    <x v="8"/>
    <x v="8"/>
  </r>
  <r>
    <x v="27"/>
    <x v="186"/>
    <x v="2"/>
    <x v="55"/>
    <x v="55"/>
    <x v="0"/>
    <x v="9"/>
    <x v="41"/>
  </r>
  <r>
    <x v="27"/>
    <x v="186"/>
    <x v="3"/>
    <x v="12"/>
    <x v="12"/>
    <x v="0"/>
    <x v="8"/>
    <x v="8"/>
  </r>
  <r>
    <x v="27"/>
    <x v="186"/>
    <x v="3"/>
    <x v="34"/>
    <x v="34"/>
    <x v="0"/>
    <x v="8"/>
    <x v="8"/>
  </r>
  <r>
    <x v="27"/>
    <x v="186"/>
    <x v="3"/>
    <x v="75"/>
    <x v="75"/>
    <x v="0"/>
    <x v="8"/>
    <x v="8"/>
  </r>
  <r>
    <x v="28"/>
    <x v="187"/>
    <x v="0"/>
    <x v="162"/>
    <x v="163"/>
    <x v="0"/>
    <x v="19"/>
    <x v="28"/>
  </r>
  <r>
    <x v="28"/>
    <x v="187"/>
    <x v="0"/>
    <x v="4"/>
    <x v="4"/>
    <x v="7"/>
    <x v="3"/>
    <x v="39"/>
  </r>
  <r>
    <x v="28"/>
    <x v="187"/>
    <x v="0"/>
    <x v="6"/>
    <x v="6"/>
    <x v="0"/>
    <x v="5"/>
    <x v="16"/>
  </r>
  <r>
    <x v="28"/>
    <x v="187"/>
    <x v="0"/>
    <x v="7"/>
    <x v="7"/>
    <x v="1"/>
    <x v="6"/>
    <x v="23"/>
  </r>
  <r>
    <x v="28"/>
    <x v="187"/>
    <x v="3"/>
    <x v="11"/>
    <x v="11"/>
    <x v="0"/>
    <x v="8"/>
    <x v="8"/>
  </r>
  <r>
    <x v="28"/>
    <x v="187"/>
    <x v="3"/>
    <x v="14"/>
    <x v="14"/>
    <x v="5"/>
    <x v="8"/>
    <x v="1"/>
  </r>
  <r>
    <x v="28"/>
    <x v="187"/>
    <x v="3"/>
    <x v="31"/>
    <x v="31"/>
    <x v="0"/>
    <x v="10"/>
    <x v="11"/>
  </r>
  <r>
    <x v="28"/>
    <x v="187"/>
    <x v="3"/>
    <x v="34"/>
    <x v="34"/>
    <x v="0"/>
    <x v="8"/>
    <x v="8"/>
  </r>
  <r>
    <x v="28"/>
    <x v="188"/>
    <x v="0"/>
    <x v="4"/>
    <x v="4"/>
    <x v="7"/>
    <x v="3"/>
    <x v="39"/>
  </r>
  <r>
    <x v="28"/>
    <x v="188"/>
    <x v="0"/>
    <x v="43"/>
    <x v="94"/>
    <x v="0"/>
    <x v="19"/>
    <x v="28"/>
  </r>
  <r>
    <x v="28"/>
    <x v="188"/>
    <x v="0"/>
    <x v="6"/>
    <x v="6"/>
    <x v="5"/>
    <x v="5"/>
    <x v="47"/>
  </r>
  <r>
    <x v="28"/>
    <x v="188"/>
    <x v="0"/>
    <x v="7"/>
    <x v="7"/>
    <x v="0"/>
    <x v="6"/>
    <x v="45"/>
  </r>
  <r>
    <x v="28"/>
    <x v="188"/>
    <x v="0"/>
    <x v="39"/>
    <x v="39"/>
    <x v="0"/>
    <x v="17"/>
    <x v="24"/>
  </r>
  <r>
    <x v="28"/>
    <x v="188"/>
    <x v="5"/>
    <x v="44"/>
    <x v="44"/>
    <x v="0"/>
    <x v="0"/>
    <x v="0"/>
  </r>
  <r>
    <x v="28"/>
    <x v="188"/>
    <x v="5"/>
    <x v="156"/>
    <x v="157"/>
    <x v="0"/>
    <x v="18"/>
    <x v="27"/>
  </r>
  <r>
    <x v="28"/>
    <x v="188"/>
    <x v="2"/>
    <x v="18"/>
    <x v="18"/>
    <x v="1"/>
    <x v="11"/>
    <x v="61"/>
  </r>
  <r>
    <x v="28"/>
    <x v="188"/>
    <x v="2"/>
    <x v="10"/>
    <x v="10"/>
    <x v="7"/>
    <x v="9"/>
    <x v="94"/>
  </r>
  <r>
    <x v="28"/>
    <x v="188"/>
    <x v="2"/>
    <x v="19"/>
    <x v="19"/>
    <x v="0"/>
    <x v="12"/>
    <x v="34"/>
  </r>
  <r>
    <x v="28"/>
    <x v="188"/>
    <x v="4"/>
    <x v="83"/>
    <x v="83"/>
    <x v="0"/>
    <x v="0"/>
    <x v="0"/>
  </r>
  <r>
    <x v="28"/>
    <x v="188"/>
    <x v="3"/>
    <x v="11"/>
    <x v="11"/>
    <x v="12"/>
    <x v="8"/>
    <x v="56"/>
  </r>
  <r>
    <x v="28"/>
    <x v="188"/>
    <x v="3"/>
    <x v="25"/>
    <x v="25"/>
    <x v="0"/>
    <x v="8"/>
    <x v="8"/>
  </r>
  <r>
    <x v="28"/>
    <x v="188"/>
    <x v="3"/>
    <x v="73"/>
    <x v="73"/>
    <x v="0"/>
    <x v="8"/>
    <x v="8"/>
  </r>
  <r>
    <x v="28"/>
    <x v="188"/>
    <x v="3"/>
    <x v="27"/>
    <x v="27"/>
    <x v="0"/>
    <x v="8"/>
    <x v="8"/>
  </r>
  <r>
    <x v="28"/>
    <x v="188"/>
    <x v="3"/>
    <x v="28"/>
    <x v="28"/>
    <x v="0"/>
    <x v="8"/>
    <x v="8"/>
  </r>
  <r>
    <x v="28"/>
    <x v="188"/>
    <x v="3"/>
    <x v="13"/>
    <x v="13"/>
    <x v="0"/>
    <x v="8"/>
    <x v="8"/>
  </r>
  <r>
    <x v="28"/>
    <x v="188"/>
    <x v="3"/>
    <x v="34"/>
    <x v="34"/>
    <x v="0"/>
    <x v="8"/>
    <x v="8"/>
  </r>
  <r>
    <x v="28"/>
    <x v="189"/>
    <x v="0"/>
    <x v="42"/>
    <x v="42"/>
    <x v="0"/>
    <x v="1"/>
    <x v="1"/>
  </r>
  <r>
    <x v="28"/>
    <x v="190"/>
    <x v="0"/>
    <x v="1"/>
    <x v="1"/>
    <x v="0"/>
    <x v="1"/>
    <x v="1"/>
  </r>
  <r>
    <x v="28"/>
    <x v="190"/>
    <x v="0"/>
    <x v="4"/>
    <x v="4"/>
    <x v="2"/>
    <x v="3"/>
    <x v="15"/>
  </r>
  <r>
    <x v="28"/>
    <x v="190"/>
    <x v="0"/>
    <x v="6"/>
    <x v="6"/>
    <x v="1"/>
    <x v="5"/>
    <x v="5"/>
  </r>
  <r>
    <x v="28"/>
    <x v="190"/>
    <x v="0"/>
    <x v="21"/>
    <x v="21"/>
    <x v="0"/>
    <x v="14"/>
    <x v="17"/>
  </r>
  <r>
    <x v="28"/>
    <x v="190"/>
    <x v="0"/>
    <x v="7"/>
    <x v="7"/>
    <x v="3"/>
    <x v="6"/>
    <x v="69"/>
  </r>
  <r>
    <x v="28"/>
    <x v="190"/>
    <x v="0"/>
    <x v="39"/>
    <x v="39"/>
    <x v="1"/>
    <x v="17"/>
    <x v="40"/>
  </r>
  <r>
    <x v="28"/>
    <x v="190"/>
    <x v="1"/>
    <x v="122"/>
    <x v="123"/>
    <x v="0"/>
    <x v="24"/>
    <x v="44"/>
  </r>
  <r>
    <x v="28"/>
    <x v="190"/>
    <x v="1"/>
    <x v="57"/>
    <x v="57"/>
    <x v="1"/>
    <x v="7"/>
    <x v="70"/>
  </r>
  <r>
    <x v="28"/>
    <x v="190"/>
    <x v="1"/>
    <x v="155"/>
    <x v="156"/>
    <x v="0"/>
    <x v="7"/>
    <x v="7"/>
  </r>
  <r>
    <x v="28"/>
    <x v="190"/>
    <x v="1"/>
    <x v="17"/>
    <x v="17"/>
    <x v="0"/>
    <x v="10"/>
    <x v="11"/>
  </r>
  <r>
    <x v="28"/>
    <x v="190"/>
    <x v="4"/>
    <x v="83"/>
    <x v="83"/>
    <x v="1"/>
    <x v="0"/>
    <x v="33"/>
  </r>
  <r>
    <x v="28"/>
    <x v="190"/>
    <x v="3"/>
    <x v="167"/>
    <x v="168"/>
    <x v="0"/>
    <x v="8"/>
    <x v="8"/>
  </r>
  <r>
    <x v="28"/>
    <x v="190"/>
    <x v="3"/>
    <x v="25"/>
    <x v="25"/>
    <x v="0"/>
    <x v="8"/>
    <x v="8"/>
  </r>
  <r>
    <x v="28"/>
    <x v="190"/>
    <x v="3"/>
    <x v="60"/>
    <x v="60"/>
    <x v="5"/>
    <x v="8"/>
    <x v="1"/>
  </r>
  <r>
    <x v="28"/>
    <x v="190"/>
    <x v="3"/>
    <x v="28"/>
    <x v="28"/>
    <x v="0"/>
    <x v="8"/>
    <x v="8"/>
  </r>
  <r>
    <x v="28"/>
    <x v="190"/>
    <x v="3"/>
    <x v="13"/>
    <x v="13"/>
    <x v="0"/>
    <x v="8"/>
    <x v="8"/>
  </r>
  <r>
    <x v="28"/>
    <x v="190"/>
    <x v="3"/>
    <x v="14"/>
    <x v="14"/>
    <x v="0"/>
    <x v="8"/>
    <x v="8"/>
  </r>
  <r>
    <x v="28"/>
    <x v="190"/>
    <x v="3"/>
    <x v="30"/>
    <x v="30"/>
    <x v="0"/>
    <x v="8"/>
    <x v="8"/>
  </r>
  <r>
    <x v="28"/>
    <x v="190"/>
    <x v="3"/>
    <x v="31"/>
    <x v="31"/>
    <x v="0"/>
    <x v="10"/>
    <x v="11"/>
  </r>
  <r>
    <x v="28"/>
    <x v="190"/>
    <x v="3"/>
    <x v="33"/>
    <x v="33"/>
    <x v="0"/>
    <x v="8"/>
    <x v="8"/>
  </r>
  <r>
    <x v="28"/>
    <x v="190"/>
    <x v="3"/>
    <x v="15"/>
    <x v="15"/>
    <x v="0"/>
    <x v="8"/>
    <x v="8"/>
  </r>
  <r>
    <x v="28"/>
    <x v="190"/>
    <x v="3"/>
    <x v="53"/>
    <x v="53"/>
    <x v="1"/>
    <x v="8"/>
    <x v="21"/>
  </r>
  <r>
    <x v="28"/>
    <x v="190"/>
    <x v="3"/>
    <x v="75"/>
    <x v="75"/>
    <x v="0"/>
    <x v="8"/>
    <x v="8"/>
  </r>
  <r>
    <x v="29"/>
    <x v="191"/>
    <x v="2"/>
    <x v="24"/>
    <x v="24"/>
    <x v="1"/>
    <x v="16"/>
    <x v="59"/>
  </r>
  <r>
    <x v="29"/>
    <x v="191"/>
    <x v="2"/>
    <x v="40"/>
    <x v="40"/>
    <x v="5"/>
    <x v="16"/>
    <x v="100"/>
  </r>
  <r>
    <x v="29"/>
    <x v="191"/>
    <x v="2"/>
    <x v="105"/>
    <x v="106"/>
    <x v="7"/>
    <x v="9"/>
    <x v="94"/>
  </r>
  <r>
    <x v="29"/>
    <x v="191"/>
    <x v="2"/>
    <x v="19"/>
    <x v="19"/>
    <x v="5"/>
    <x v="12"/>
    <x v="48"/>
  </r>
  <r>
    <x v="30"/>
    <x v="192"/>
    <x v="0"/>
    <x v="118"/>
    <x v="169"/>
    <x v="0"/>
    <x v="23"/>
    <x v="36"/>
  </r>
  <r>
    <x v="30"/>
    <x v="192"/>
    <x v="0"/>
    <x v="117"/>
    <x v="170"/>
    <x v="0"/>
    <x v="10"/>
    <x v="11"/>
  </r>
  <r>
    <x v="30"/>
    <x v="192"/>
    <x v="2"/>
    <x v="10"/>
    <x v="10"/>
    <x v="6"/>
    <x v="9"/>
    <x v="54"/>
  </r>
  <r>
    <x v="30"/>
    <x v="193"/>
    <x v="0"/>
    <x v="42"/>
    <x v="42"/>
    <x v="0"/>
    <x v="1"/>
    <x v="1"/>
  </r>
  <r>
    <x v="30"/>
    <x v="193"/>
    <x v="0"/>
    <x v="7"/>
    <x v="7"/>
    <x v="2"/>
    <x v="6"/>
    <x v="6"/>
  </r>
  <r>
    <x v="30"/>
    <x v="193"/>
    <x v="2"/>
    <x v="19"/>
    <x v="19"/>
    <x v="5"/>
    <x v="12"/>
    <x v="48"/>
  </r>
  <r>
    <x v="30"/>
    <x v="193"/>
    <x v="3"/>
    <x v="60"/>
    <x v="60"/>
    <x v="0"/>
    <x v="8"/>
    <x v="8"/>
  </r>
  <r>
    <x v="30"/>
    <x v="194"/>
    <x v="1"/>
    <x v="132"/>
    <x v="133"/>
    <x v="0"/>
    <x v="7"/>
    <x v="7"/>
  </r>
  <r>
    <x v="30"/>
    <x v="195"/>
    <x v="1"/>
    <x v="100"/>
    <x v="101"/>
    <x v="0"/>
    <x v="8"/>
    <x v="8"/>
  </r>
  <r>
    <x v="30"/>
    <x v="196"/>
    <x v="5"/>
    <x v="168"/>
    <x v="171"/>
    <x v="0"/>
    <x v="31"/>
    <x v="21"/>
  </r>
  <r>
    <x v="30"/>
    <x v="197"/>
    <x v="0"/>
    <x v="4"/>
    <x v="4"/>
    <x v="7"/>
    <x v="3"/>
    <x v="39"/>
  </r>
  <r>
    <x v="30"/>
    <x v="197"/>
    <x v="0"/>
    <x v="6"/>
    <x v="6"/>
    <x v="5"/>
    <x v="5"/>
    <x v="47"/>
  </r>
  <r>
    <x v="30"/>
    <x v="197"/>
    <x v="0"/>
    <x v="7"/>
    <x v="7"/>
    <x v="2"/>
    <x v="6"/>
    <x v="6"/>
  </r>
  <r>
    <x v="30"/>
    <x v="197"/>
    <x v="4"/>
    <x v="59"/>
    <x v="59"/>
    <x v="0"/>
    <x v="18"/>
    <x v="27"/>
  </r>
  <r>
    <x v="30"/>
    <x v="198"/>
    <x v="1"/>
    <x v="94"/>
    <x v="95"/>
    <x v="0"/>
    <x v="8"/>
    <x v="8"/>
  </r>
  <r>
    <x v="30"/>
    <x v="199"/>
    <x v="2"/>
    <x v="24"/>
    <x v="24"/>
    <x v="2"/>
    <x v="16"/>
    <x v="43"/>
  </r>
  <r>
    <x v="30"/>
    <x v="199"/>
    <x v="2"/>
    <x v="40"/>
    <x v="40"/>
    <x v="0"/>
    <x v="16"/>
    <x v="84"/>
  </r>
  <r>
    <x v="30"/>
    <x v="199"/>
    <x v="2"/>
    <x v="19"/>
    <x v="19"/>
    <x v="0"/>
    <x v="12"/>
    <x v="34"/>
  </r>
  <r>
    <x v="30"/>
    <x v="199"/>
    <x v="2"/>
    <x v="55"/>
    <x v="55"/>
    <x v="0"/>
    <x v="9"/>
    <x v="41"/>
  </r>
  <r>
    <x v="30"/>
    <x v="199"/>
    <x v="3"/>
    <x v="12"/>
    <x v="12"/>
    <x v="0"/>
    <x v="8"/>
    <x v="8"/>
  </r>
  <r>
    <x v="30"/>
    <x v="199"/>
    <x v="3"/>
    <x v="13"/>
    <x v="13"/>
    <x v="5"/>
    <x v="8"/>
    <x v="1"/>
  </r>
  <r>
    <x v="30"/>
    <x v="199"/>
    <x v="3"/>
    <x v="53"/>
    <x v="53"/>
    <x v="1"/>
    <x v="8"/>
    <x v="21"/>
  </r>
  <r>
    <x v="30"/>
    <x v="200"/>
    <x v="0"/>
    <x v="4"/>
    <x v="4"/>
    <x v="6"/>
    <x v="3"/>
    <x v="49"/>
  </r>
  <r>
    <x v="30"/>
    <x v="200"/>
    <x v="0"/>
    <x v="5"/>
    <x v="5"/>
    <x v="0"/>
    <x v="4"/>
    <x v="4"/>
  </r>
  <r>
    <x v="30"/>
    <x v="200"/>
    <x v="0"/>
    <x v="7"/>
    <x v="7"/>
    <x v="7"/>
    <x v="6"/>
    <x v="38"/>
  </r>
  <r>
    <x v="30"/>
    <x v="200"/>
    <x v="5"/>
    <x v="44"/>
    <x v="44"/>
    <x v="0"/>
    <x v="0"/>
    <x v="0"/>
  </r>
  <r>
    <x v="30"/>
    <x v="200"/>
    <x v="1"/>
    <x v="71"/>
    <x v="71"/>
    <x v="0"/>
    <x v="8"/>
    <x v="8"/>
  </r>
  <r>
    <x v="30"/>
    <x v="200"/>
    <x v="1"/>
    <x v="8"/>
    <x v="8"/>
    <x v="0"/>
    <x v="7"/>
    <x v="7"/>
  </r>
  <r>
    <x v="30"/>
    <x v="200"/>
    <x v="4"/>
    <x v="67"/>
    <x v="67"/>
    <x v="0"/>
    <x v="17"/>
    <x v="24"/>
  </r>
  <r>
    <x v="30"/>
    <x v="200"/>
    <x v="4"/>
    <x v="41"/>
    <x v="41"/>
    <x v="0"/>
    <x v="18"/>
    <x v="27"/>
  </r>
  <r>
    <x v="30"/>
    <x v="200"/>
    <x v="3"/>
    <x v="61"/>
    <x v="61"/>
    <x v="0"/>
    <x v="8"/>
    <x v="8"/>
  </r>
  <r>
    <x v="30"/>
    <x v="200"/>
    <x v="3"/>
    <x v="89"/>
    <x v="89"/>
    <x v="0"/>
    <x v="31"/>
    <x v="21"/>
  </r>
  <r>
    <x v="30"/>
    <x v="200"/>
    <x v="3"/>
    <x v="27"/>
    <x v="27"/>
    <x v="1"/>
    <x v="8"/>
    <x v="21"/>
  </r>
  <r>
    <x v="30"/>
    <x v="200"/>
    <x v="3"/>
    <x v="13"/>
    <x v="13"/>
    <x v="1"/>
    <x v="8"/>
    <x v="21"/>
  </r>
  <r>
    <x v="30"/>
    <x v="200"/>
    <x v="3"/>
    <x v="33"/>
    <x v="33"/>
    <x v="0"/>
    <x v="8"/>
    <x v="8"/>
  </r>
  <r>
    <x v="30"/>
    <x v="200"/>
    <x v="3"/>
    <x v="53"/>
    <x v="53"/>
    <x v="0"/>
    <x v="8"/>
    <x v="8"/>
  </r>
  <r>
    <x v="30"/>
    <x v="201"/>
    <x v="0"/>
    <x v="0"/>
    <x v="0"/>
    <x v="0"/>
    <x v="0"/>
    <x v="0"/>
  </r>
  <r>
    <x v="30"/>
    <x v="201"/>
    <x v="0"/>
    <x v="45"/>
    <x v="45"/>
    <x v="0"/>
    <x v="20"/>
    <x v="29"/>
  </r>
  <r>
    <x v="30"/>
    <x v="201"/>
    <x v="0"/>
    <x v="118"/>
    <x v="169"/>
    <x v="0"/>
    <x v="23"/>
    <x v="36"/>
  </r>
  <r>
    <x v="30"/>
    <x v="201"/>
    <x v="0"/>
    <x v="117"/>
    <x v="170"/>
    <x v="0"/>
    <x v="10"/>
    <x v="11"/>
  </r>
  <r>
    <x v="30"/>
    <x v="201"/>
    <x v="0"/>
    <x v="4"/>
    <x v="4"/>
    <x v="2"/>
    <x v="3"/>
    <x v="15"/>
  </r>
  <r>
    <x v="30"/>
    <x v="201"/>
    <x v="0"/>
    <x v="6"/>
    <x v="6"/>
    <x v="7"/>
    <x v="5"/>
    <x v="37"/>
  </r>
  <r>
    <x v="30"/>
    <x v="201"/>
    <x v="0"/>
    <x v="7"/>
    <x v="7"/>
    <x v="2"/>
    <x v="6"/>
    <x v="6"/>
  </r>
  <r>
    <x v="30"/>
    <x v="201"/>
    <x v="4"/>
    <x v="83"/>
    <x v="83"/>
    <x v="0"/>
    <x v="0"/>
    <x v="0"/>
  </r>
  <r>
    <x v="30"/>
    <x v="201"/>
    <x v="3"/>
    <x v="64"/>
    <x v="64"/>
    <x v="0"/>
    <x v="8"/>
    <x v="8"/>
  </r>
  <r>
    <x v="30"/>
    <x v="201"/>
    <x v="3"/>
    <x v="28"/>
    <x v="28"/>
    <x v="1"/>
    <x v="8"/>
    <x v="21"/>
  </r>
  <r>
    <x v="30"/>
    <x v="201"/>
    <x v="3"/>
    <x v="14"/>
    <x v="14"/>
    <x v="1"/>
    <x v="8"/>
    <x v="21"/>
  </r>
  <r>
    <x v="30"/>
    <x v="201"/>
    <x v="3"/>
    <x v="30"/>
    <x v="30"/>
    <x v="0"/>
    <x v="8"/>
    <x v="8"/>
  </r>
  <r>
    <x v="30"/>
    <x v="201"/>
    <x v="3"/>
    <x v="31"/>
    <x v="31"/>
    <x v="0"/>
    <x v="10"/>
    <x v="11"/>
  </r>
  <r>
    <x v="30"/>
    <x v="201"/>
    <x v="3"/>
    <x v="34"/>
    <x v="34"/>
    <x v="1"/>
    <x v="8"/>
    <x v="21"/>
  </r>
  <r>
    <x v="31"/>
    <x v="202"/>
    <x v="12"/>
    <x v="169"/>
    <x v="172"/>
    <x v="20"/>
    <x v="42"/>
    <x v="1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4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C82" firstHeaderRow="0" firstDataRow="1" firstDataCol="1"/>
  <pivotFields count="8">
    <pivotField compact="0" showAll="0"/>
    <pivotField compact="0" showAll="0"/>
    <pivotField compact="0" showAll="0"/>
    <pivotField compact="0" showAll="0"/>
    <pivotField axis="axisRow" compact="0" showAll="0">
      <items count="79">
        <item x="76"/>
        <item x="28"/>
        <item x="12"/>
        <item x="23"/>
        <item x="29"/>
        <item x="13"/>
        <item x="56"/>
        <item x="24"/>
        <item x="26"/>
        <item x="42"/>
        <item x="27"/>
        <item x="37"/>
        <item x="14"/>
        <item x="0"/>
        <item x="55"/>
        <item x="65"/>
        <item x="50"/>
        <item x="45"/>
        <item x="34"/>
        <item x="15"/>
        <item x="58"/>
        <item x="20"/>
        <item x="16"/>
        <item x="30"/>
        <item x="17"/>
        <item x="2"/>
        <item x="35"/>
        <item x="3"/>
        <item x="31"/>
        <item x="46"/>
        <item x="21"/>
        <item x="71"/>
        <item x="70"/>
        <item x="72"/>
        <item x="36"/>
        <item x="62"/>
        <item x="74"/>
        <item x="44"/>
        <item x="51"/>
        <item x="54"/>
        <item x="47"/>
        <item x="38"/>
        <item x="11"/>
        <item x="67"/>
        <item x="60"/>
        <item x="33"/>
        <item x="57"/>
        <item x="25"/>
        <item x="4"/>
        <item x="48"/>
        <item x="5"/>
        <item x="6"/>
        <item x="53"/>
        <item x="61"/>
        <item x="18"/>
        <item x="75"/>
        <item x="1"/>
        <item x="32"/>
        <item x="66"/>
        <item x="39"/>
        <item x="69"/>
        <item x="40"/>
        <item x="43"/>
        <item x="63"/>
        <item x="7"/>
        <item x="8"/>
        <item x="19"/>
        <item x="64"/>
        <item x="41"/>
        <item x="52"/>
        <item x="68"/>
        <item x="73"/>
        <item x="49"/>
        <item x="9"/>
        <item x="10"/>
        <item x="59"/>
        <item x="22"/>
        <item x="77"/>
        <item t="default"/>
      </items>
    </pivotField>
    <pivotField dataField="1" compact="0" showAll="0"/>
    <pivotField compact="0" showAll="0"/>
    <pivotField dataField="1" compact="0" showAll="0"/>
  </pivotFields>
  <rowFields count="1">
    <field x="4"/>
  </rowFields>
  <rowItems count="7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包数" fld="5" baseField="0" baseItem="0"/>
    <dataField name="求和项:总价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5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C177" firstHeaderRow="0" firstDataRow="1" firstDataCol="1"/>
  <pivotFields count="8">
    <pivotField compact="0" showAll="0"/>
    <pivotField compact="0" showAll="0"/>
    <pivotField compact="0" showAll="0"/>
    <pivotField compact="0" showAll="0"/>
    <pivotField axis="axisRow" compact="0" showAll="0">
      <items count="174">
        <item x="154"/>
        <item x="155"/>
        <item x="159"/>
        <item x="135"/>
        <item x="0"/>
        <item x="1"/>
        <item x="42"/>
        <item x="16"/>
        <item x="166"/>
        <item x="160"/>
        <item x="70"/>
        <item x="114"/>
        <item x="83"/>
        <item x="147"/>
        <item x="144"/>
        <item x="46"/>
        <item x="98"/>
        <item x="80"/>
        <item x="96"/>
        <item x="11"/>
        <item x="168"/>
        <item x="104"/>
        <item x="56"/>
        <item x="65"/>
        <item x="164"/>
        <item x="162"/>
        <item x="132"/>
        <item x="161"/>
        <item x="163"/>
        <item x="123"/>
        <item x="25"/>
        <item x="12"/>
        <item x="60"/>
        <item x="66"/>
        <item x="121"/>
        <item x="111"/>
        <item x="95"/>
        <item x="63"/>
        <item x="35"/>
        <item x="67"/>
        <item x="59"/>
        <item x="41"/>
        <item x="71"/>
        <item x="97"/>
        <item x="38"/>
        <item x="137"/>
        <item x="88"/>
        <item x="149"/>
        <item x="150"/>
        <item x="2"/>
        <item x="120"/>
        <item x="134"/>
        <item x="73"/>
        <item x="47"/>
        <item x="64"/>
        <item x="124"/>
        <item x="61"/>
        <item x="103"/>
        <item x="145"/>
        <item x="148"/>
        <item x="146"/>
        <item x="92"/>
        <item x="91"/>
        <item x="151"/>
        <item x="152"/>
        <item x="85"/>
        <item x="116"/>
        <item x="107"/>
        <item x="136"/>
        <item x="72"/>
        <item x="133"/>
        <item x="129"/>
        <item x="79"/>
        <item x="26"/>
        <item x="3"/>
        <item x="84"/>
        <item x="125"/>
        <item x="89"/>
        <item x="130"/>
        <item x="128"/>
        <item x="27"/>
        <item x="28"/>
        <item x="8"/>
        <item x="99"/>
        <item x="74"/>
        <item x="86"/>
        <item x="45"/>
        <item x="112"/>
        <item x="23"/>
        <item x="127"/>
        <item x="13"/>
        <item x="165"/>
        <item x="81"/>
        <item x="87"/>
        <item x="36"/>
        <item x="138"/>
        <item x="9"/>
        <item x="142"/>
        <item x="108"/>
        <item x="50"/>
        <item x="117"/>
        <item x="52"/>
        <item x="78"/>
        <item x="24"/>
        <item x="29"/>
        <item x="105"/>
        <item x="131"/>
        <item x="169"/>
        <item x="170"/>
        <item x="4"/>
        <item x="14"/>
        <item x="115"/>
        <item x="69"/>
        <item x="51"/>
        <item x="49"/>
        <item x="100"/>
        <item x="5"/>
        <item x="43"/>
        <item x="57"/>
        <item x="94"/>
        <item x="44"/>
        <item x="158"/>
        <item x="126"/>
        <item x="6"/>
        <item x="156"/>
        <item x="30"/>
        <item x="31"/>
        <item x="18"/>
        <item x="40"/>
        <item x="10"/>
        <item x="21"/>
        <item x="48"/>
        <item x="109"/>
        <item x="54"/>
        <item x="171"/>
        <item x="139"/>
        <item x="17"/>
        <item x="32"/>
        <item x="62"/>
        <item x="101"/>
        <item x="110"/>
        <item x="106"/>
        <item x="19"/>
        <item x="7"/>
        <item x="20"/>
        <item x="55"/>
        <item x="119"/>
        <item x="118"/>
        <item x="22"/>
        <item x="68"/>
        <item x="102"/>
        <item x="157"/>
        <item x="82"/>
        <item x="167"/>
        <item x="113"/>
        <item x="140"/>
        <item x="33"/>
        <item x="15"/>
        <item x="34"/>
        <item x="53"/>
        <item x="90"/>
        <item x="75"/>
        <item x="122"/>
        <item x="93"/>
        <item x="77"/>
        <item x="58"/>
        <item x="76"/>
        <item x="37"/>
        <item x="39"/>
        <item x="141"/>
        <item x="153"/>
        <item x="143"/>
        <item x="172"/>
        <item t="default"/>
      </items>
    </pivotField>
    <pivotField dataField="1" compact="0" showAll="0"/>
    <pivotField compact="0" showAll="0"/>
    <pivotField dataField="1" compact="0" showAll="0"/>
  </pivotFields>
  <rowFields count="1">
    <field x="4"/>
  </rowFields>
  <rowItems count="1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包数" fld="5" baseField="0" baseItem="0"/>
    <dataField name="求和项:总价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"/>
  <sheetViews>
    <sheetView view="pageBreakPreview" zoomScaleNormal="100" workbookViewId="0">
      <pane xSplit="7" ySplit="3" topLeftCell="H30" activePane="bottomRight" state="frozen"/>
      <selection/>
      <selection pane="topRight"/>
      <selection pane="bottomLeft"/>
      <selection pane="bottomRight" activeCell="I4" sqref="I4:L52"/>
    </sheetView>
  </sheetViews>
  <sheetFormatPr defaultColWidth="9" defaultRowHeight="17.25"/>
  <cols>
    <col min="1" max="1" width="11" style="18" hidden="1" customWidth="1"/>
    <col min="2" max="2" width="17.5" style="21" hidden="1" customWidth="1"/>
    <col min="3" max="3" width="21.5" style="18" hidden="1" customWidth="1"/>
    <col min="4" max="4" width="17.7583333333333" style="18" hidden="1" customWidth="1"/>
    <col min="5" max="5" width="9.63333333333333" style="18" hidden="1" customWidth="1"/>
    <col min="6" max="6" width="10" style="18" hidden="1" customWidth="1"/>
    <col min="7" max="7" width="9.68333333333333" style="18" hidden="1" customWidth="1"/>
    <col min="8" max="8" width="22.2583333333333" style="22" customWidth="1"/>
    <col min="9" max="9" width="13.625" style="23" customWidth="1"/>
    <col min="10" max="11" width="12.875" style="24" customWidth="1"/>
    <col min="12" max="12" width="11.2583333333333" style="25" customWidth="1"/>
    <col min="13" max="13" width="14.5" style="26" customWidth="1"/>
    <col min="14" max="14" width="11.2583333333333" style="27" customWidth="1"/>
    <col min="15" max="16230" width="11" style="18"/>
    <col min="16231" max="16384" width="9" style="18"/>
  </cols>
  <sheetData>
    <row r="1" s="18" customFormat="1" ht="22" customHeight="1" spans="1:14">
      <c r="B1" s="21"/>
      <c r="H1" s="28" t="s">
        <v>0</v>
      </c>
      <c r="I1" s="29"/>
      <c r="J1" s="30"/>
      <c r="K1" s="30"/>
      <c r="L1" s="31"/>
      <c r="M1" s="32"/>
      <c r="N1" s="28"/>
    </row>
    <row r="2" s="19" customFormat="1" ht="22" customHeight="1" spans="1:14">
      <c r="A2" s="33"/>
      <c r="B2" s="33"/>
      <c r="C2" s="33"/>
      <c r="D2" s="33"/>
      <c r="H2" s="34" t="s">
        <v>1</v>
      </c>
      <c r="I2" s="35" t="s">
        <v>2</v>
      </c>
      <c r="J2" s="36" t="s">
        <v>3</v>
      </c>
      <c r="K2" s="37" t="s">
        <v>4</v>
      </c>
      <c r="L2" s="38" t="s">
        <v>5</v>
      </c>
      <c r="M2" s="37" t="s">
        <v>6</v>
      </c>
      <c r="N2" s="34" t="s">
        <v>7</v>
      </c>
    </row>
    <row r="3" s="19" customFormat="1" ht="22" customHeight="1" spans="1:14">
      <c r="A3" s="33"/>
      <c r="B3" s="33" t="s">
        <v>8</v>
      </c>
      <c r="C3" s="33" t="s">
        <v>9</v>
      </c>
      <c r="D3" s="33" t="s">
        <v>10</v>
      </c>
      <c r="H3" s="34"/>
      <c r="I3" s="35"/>
      <c r="J3" s="36"/>
      <c r="K3" s="37"/>
      <c r="L3" s="38"/>
      <c r="M3" s="37" t="s">
        <v>11</v>
      </c>
      <c r="N3" s="34"/>
    </row>
    <row r="4" s="20" customFormat="1" ht="22" customHeight="1" spans="1:14">
      <c r="A4" s="39"/>
      <c r="B4" s="40">
        <v>686551.5</v>
      </c>
      <c r="C4" s="41">
        <f>(I4+J4+K4)/B4</f>
        <v>0</v>
      </c>
      <c r="D4" s="39">
        <v>900</v>
      </c>
      <c r="E4" s="20">
        <f>C4*D4</f>
        <v>0</v>
      </c>
      <c r="H4" s="42" t="s">
        <v>12</v>
      </c>
      <c r="I4" s="43"/>
      <c r="J4" s="36"/>
      <c r="K4" s="36"/>
      <c r="L4" s="38"/>
      <c r="M4" s="44">
        <f t="shared" ref="M4:M19" si="0">I4+J4+K4+L4</f>
        <v>0</v>
      </c>
      <c r="N4" s="34"/>
    </row>
    <row r="5" s="20" customFormat="1" ht="22" customHeight="1" spans="1:14">
      <c r="A5" s="39"/>
      <c r="B5" s="40">
        <v>686551.5</v>
      </c>
      <c r="C5" s="41">
        <f t="shared" ref="C5:C52" si="1">(I5+J5+K5)/B5</f>
        <v>0</v>
      </c>
      <c r="D5" s="39">
        <v>900</v>
      </c>
      <c r="E5" s="20">
        <f t="shared" ref="E5:E52" si="2">C5*D5</f>
        <v>0</v>
      </c>
      <c r="H5" s="42" t="s">
        <v>13</v>
      </c>
      <c r="I5" s="43"/>
      <c r="J5" s="36"/>
      <c r="K5" s="36"/>
      <c r="L5" s="38"/>
      <c r="M5" s="44">
        <f t="shared" si="0"/>
        <v>0</v>
      </c>
      <c r="N5" s="34"/>
    </row>
    <row r="6" s="20" customFormat="1" ht="22" customHeight="1" spans="1:14">
      <c r="A6" s="39"/>
      <c r="B6" s="40">
        <v>686551.5</v>
      </c>
      <c r="C6" s="41">
        <f t="shared" si="1"/>
        <v>0</v>
      </c>
      <c r="D6" s="39">
        <v>900</v>
      </c>
      <c r="E6" s="20">
        <f t="shared" si="2"/>
        <v>0</v>
      </c>
      <c r="H6" s="42" t="s">
        <v>14</v>
      </c>
      <c r="I6" s="43"/>
      <c r="J6" s="36"/>
      <c r="K6" s="36"/>
      <c r="L6" s="38"/>
      <c r="M6" s="44">
        <f t="shared" si="0"/>
        <v>0</v>
      </c>
      <c r="N6" s="34"/>
    </row>
    <row r="7" s="20" customFormat="1" ht="22" customHeight="1" spans="1:14">
      <c r="A7" s="39"/>
      <c r="B7" s="40">
        <v>686551.5</v>
      </c>
      <c r="C7" s="41">
        <f t="shared" si="1"/>
        <v>0</v>
      </c>
      <c r="D7" s="39">
        <v>900</v>
      </c>
      <c r="E7" s="20">
        <f t="shared" si="2"/>
        <v>0</v>
      </c>
      <c r="H7" s="42" t="s">
        <v>15</v>
      </c>
      <c r="I7" s="43"/>
      <c r="J7" s="36"/>
      <c r="K7" s="36"/>
      <c r="L7" s="38"/>
      <c r="M7" s="44">
        <f t="shared" si="0"/>
        <v>0</v>
      </c>
      <c r="N7" s="34"/>
    </row>
    <row r="8" s="20" customFormat="1" ht="22" customHeight="1" spans="1:14">
      <c r="A8" s="39"/>
      <c r="B8" s="40">
        <v>686551.5</v>
      </c>
      <c r="C8" s="41">
        <f t="shared" si="1"/>
        <v>0</v>
      </c>
      <c r="D8" s="39">
        <v>900</v>
      </c>
      <c r="E8" s="20">
        <f t="shared" si="2"/>
        <v>0</v>
      </c>
      <c r="H8" s="42" t="s">
        <v>16</v>
      </c>
      <c r="I8" s="43"/>
      <c r="J8" s="36"/>
      <c r="K8" s="19"/>
      <c r="L8" s="38"/>
      <c r="M8" s="44">
        <f t="shared" si="0"/>
        <v>0</v>
      </c>
      <c r="N8" s="34"/>
    </row>
    <row r="9" s="20" customFormat="1" ht="22" customHeight="1" spans="1:14">
      <c r="B9" s="40">
        <v>686551.5</v>
      </c>
      <c r="C9" s="41">
        <f t="shared" si="1"/>
        <v>0</v>
      </c>
      <c r="D9" s="39">
        <v>900</v>
      </c>
      <c r="E9" s="20">
        <f t="shared" si="2"/>
        <v>0</v>
      </c>
      <c r="H9" s="42" t="s">
        <v>17</v>
      </c>
      <c r="I9" s="43"/>
      <c r="J9" s="19"/>
      <c r="K9" s="36"/>
      <c r="L9" s="38"/>
      <c r="M9" s="44">
        <f t="shared" si="0"/>
        <v>0</v>
      </c>
      <c r="N9" s="34"/>
    </row>
    <row r="10" s="20" customFormat="1" ht="22" customHeight="1" spans="1:14">
      <c r="B10" s="40">
        <v>686551.5</v>
      </c>
      <c r="C10" s="41">
        <f t="shared" si="1"/>
        <v>0</v>
      </c>
      <c r="D10" s="39">
        <v>900</v>
      </c>
      <c r="E10" s="20">
        <f t="shared" si="2"/>
        <v>0</v>
      </c>
      <c r="H10" s="42" t="s">
        <v>18</v>
      </c>
      <c r="I10" s="43"/>
      <c r="J10" s="36"/>
      <c r="K10" s="36"/>
      <c r="L10" s="38"/>
      <c r="M10" s="44">
        <f t="shared" si="0"/>
        <v>0</v>
      </c>
      <c r="N10" s="34"/>
    </row>
    <row r="11" s="20" customFormat="1" ht="22" customHeight="1" spans="1:14">
      <c r="B11" s="40">
        <v>686551.5</v>
      </c>
      <c r="C11" s="41">
        <f t="shared" si="1"/>
        <v>0</v>
      </c>
      <c r="D11" s="39">
        <v>900</v>
      </c>
      <c r="E11" s="20">
        <f t="shared" si="2"/>
        <v>0</v>
      </c>
      <c r="H11" s="42" t="s">
        <v>19</v>
      </c>
      <c r="I11" s="43"/>
      <c r="J11" s="36"/>
      <c r="K11" s="36"/>
      <c r="L11" s="38"/>
      <c r="M11" s="44">
        <f t="shared" si="0"/>
        <v>0</v>
      </c>
      <c r="N11" s="34"/>
    </row>
    <row r="12" s="20" customFormat="1" ht="22" customHeight="1" spans="1:14">
      <c r="B12" s="40">
        <v>686551.5</v>
      </c>
      <c r="C12" s="41">
        <f t="shared" si="1"/>
        <v>0</v>
      </c>
      <c r="D12" s="39">
        <v>900</v>
      </c>
      <c r="E12" s="20">
        <f t="shared" si="2"/>
        <v>0</v>
      </c>
      <c r="H12" s="42" t="s">
        <v>20</v>
      </c>
      <c r="I12" s="43"/>
      <c r="J12" s="36"/>
      <c r="K12" s="36"/>
      <c r="L12" s="38"/>
      <c r="M12" s="44">
        <f t="shared" si="0"/>
        <v>0</v>
      </c>
      <c r="N12" s="34"/>
    </row>
    <row r="13" s="20" customFormat="1" ht="22" customHeight="1" spans="1:14">
      <c r="B13" s="40">
        <v>686551.5</v>
      </c>
      <c r="C13" s="41">
        <f t="shared" si="1"/>
        <v>0</v>
      </c>
      <c r="D13" s="39">
        <v>900</v>
      </c>
      <c r="E13" s="20">
        <f t="shared" si="2"/>
        <v>0</v>
      </c>
      <c r="H13" s="42" t="s">
        <v>21</v>
      </c>
      <c r="I13" s="43"/>
      <c r="J13" s="36"/>
      <c r="K13" s="36"/>
      <c r="L13" s="38"/>
      <c r="M13" s="44">
        <f t="shared" si="0"/>
        <v>0</v>
      </c>
      <c r="N13" s="34"/>
    </row>
    <row r="14" s="20" customFormat="1" ht="22" customHeight="1" spans="1:14">
      <c r="B14" s="40">
        <v>686551.5</v>
      </c>
      <c r="C14" s="41">
        <f t="shared" si="1"/>
        <v>0</v>
      </c>
      <c r="D14" s="39">
        <v>900</v>
      </c>
      <c r="E14" s="20">
        <f t="shared" si="2"/>
        <v>0</v>
      </c>
      <c r="H14" s="42" t="s">
        <v>22</v>
      </c>
      <c r="I14" s="43"/>
      <c r="J14" s="36"/>
      <c r="K14" s="36"/>
      <c r="L14" s="38"/>
      <c r="M14" s="44">
        <f t="shared" si="0"/>
        <v>0</v>
      </c>
      <c r="N14" s="34"/>
    </row>
    <row r="15" s="20" customFormat="1" ht="22" customHeight="1" spans="1:14">
      <c r="B15" s="40">
        <v>686551.5</v>
      </c>
      <c r="C15" s="41">
        <f t="shared" si="1"/>
        <v>0</v>
      </c>
      <c r="D15" s="39">
        <v>900</v>
      </c>
      <c r="E15" s="20">
        <f t="shared" si="2"/>
        <v>0</v>
      </c>
      <c r="H15" s="42" t="s">
        <v>23</v>
      </c>
      <c r="I15" s="43"/>
      <c r="J15" s="36"/>
      <c r="K15" s="36"/>
      <c r="L15" s="38"/>
      <c r="M15" s="44">
        <f t="shared" si="0"/>
        <v>0</v>
      </c>
      <c r="N15" s="34"/>
    </row>
    <row r="16" s="20" customFormat="1" ht="22" customHeight="1" spans="1:14">
      <c r="B16" s="40">
        <v>686551.5</v>
      </c>
      <c r="C16" s="41">
        <f t="shared" si="1"/>
        <v>0</v>
      </c>
      <c r="D16" s="39">
        <v>900</v>
      </c>
      <c r="E16" s="20">
        <f t="shared" si="2"/>
        <v>0</v>
      </c>
      <c r="H16" s="42" t="s">
        <v>24</v>
      </c>
      <c r="I16" s="43"/>
      <c r="J16" s="36"/>
      <c r="K16" s="36"/>
      <c r="L16" s="38"/>
      <c r="M16" s="44">
        <f t="shared" si="0"/>
        <v>0</v>
      </c>
      <c r="N16" s="34"/>
    </row>
    <row r="17" s="20" customFormat="1" ht="22" customHeight="1" spans="2:14">
      <c r="B17" s="40">
        <v>686551.5</v>
      </c>
      <c r="C17" s="41">
        <f t="shared" si="1"/>
        <v>0</v>
      </c>
      <c r="D17" s="39">
        <v>900</v>
      </c>
      <c r="E17" s="20">
        <f t="shared" si="2"/>
        <v>0</v>
      </c>
      <c r="H17" s="42" t="s">
        <v>25</v>
      </c>
      <c r="I17" s="43"/>
      <c r="J17" s="36"/>
      <c r="K17" s="36"/>
      <c r="L17" s="38"/>
      <c r="M17" s="44">
        <f t="shared" si="0"/>
        <v>0</v>
      </c>
      <c r="N17" s="34"/>
    </row>
    <row r="18" s="20" customFormat="1" ht="22" customHeight="1" spans="2:14">
      <c r="B18" s="40">
        <v>686551.5</v>
      </c>
      <c r="C18" s="41">
        <f t="shared" si="1"/>
        <v>0</v>
      </c>
      <c r="D18" s="39">
        <v>900</v>
      </c>
      <c r="E18" s="20">
        <f t="shared" si="2"/>
        <v>0</v>
      </c>
      <c r="H18" s="42" t="s">
        <v>26</v>
      </c>
      <c r="I18" s="43"/>
      <c r="J18" s="43"/>
      <c r="K18" s="36"/>
      <c r="L18" s="38"/>
      <c r="M18" s="44">
        <f t="shared" si="0"/>
        <v>0</v>
      </c>
      <c r="N18" s="34"/>
    </row>
    <row r="19" s="20" customFormat="1" ht="22" customHeight="1" spans="2:14">
      <c r="B19" s="40">
        <v>686551.5</v>
      </c>
      <c r="C19" s="41">
        <f t="shared" si="1"/>
        <v>0</v>
      </c>
      <c r="D19" s="39">
        <v>900</v>
      </c>
      <c r="E19" s="20">
        <f t="shared" si="2"/>
        <v>0</v>
      </c>
      <c r="H19" s="42" t="s">
        <v>27</v>
      </c>
      <c r="I19" s="43"/>
      <c r="J19" s="36"/>
      <c r="K19" s="36"/>
      <c r="L19" s="38"/>
      <c r="M19" s="44">
        <f t="shared" si="0"/>
        <v>0</v>
      </c>
      <c r="N19" s="34"/>
    </row>
    <row r="20" s="20" customFormat="1" ht="22" customHeight="1" spans="2:14">
      <c r="B20" s="40">
        <v>686551.5</v>
      </c>
      <c r="C20" s="41">
        <f t="shared" si="1"/>
        <v>0</v>
      </c>
      <c r="D20" s="39">
        <v>900</v>
      </c>
      <c r="E20" s="20">
        <f t="shared" si="2"/>
        <v>0</v>
      </c>
      <c r="H20" s="42" t="s">
        <v>28</v>
      </c>
      <c r="I20" s="43"/>
      <c r="J20" s="36"/>
      <c r="K20" s="36"/>
      <c r="L20" s="38"/>
      <c r="M20" s="44">
        <f t="shared" ref="M20:M53" si="3">I20+J20+K20+L20</f>
        <v>0</v>
      </c>
      <c r="N20" s="34"/>
    </row>
    <row r="21" s="20" customFormat="1" ht="22" customHeight="1" spans="2:14">
      <c r="B21" s="40">
        <v>686551.5</v>
      </c>
      <c r="C21" s="41">
        <f t="shared" si="1"/>
        <v>0</v>
      </c>
      <c r="D21" s="39">
        <v>900</v>
      </c>
      <c r="E21" s="20">
        <f t="shared" si="2"/>
        <v>0</v>
      </c>
      <c r="H21" s="42" t="s">
        <v>29</v>
      </c>
      <c r="I21" s="43"/>
      <c r="J21" s="36"/>
      <c r="K21" s="36"/>
      <c r="L21" s="38"/>
      <c r="M21" s="44">
        <f t="shared" si="3"/>
        <v>0</v>
      </c>
      <c r="N21" s="34"/>
    </row>
    <row r="22" s="20" customFormat="1" ht="22" customHeight="1" spans="2:14">
      <c r="B22" s="40">
        <v>686551.5</v>
      </c>
      <c r="C22" s="41">
        <f t="shared" si="1"/>
        <v>0</v>
      </c>
      <c r="D22" s="39">
        <v>900</v>
      </c>
      <c r="E22" s="20">
        <f t="shared" si="2"/>
        <v>0</v>
      </c>
      <c r="H22" s="42" t="s">
        <v>30</v>
      </c>
      <c r="I22" s="43"/>
      <c r="J22" s="36"/>
      <c r="K22" s="36"/>
      <c r="L22" s="38"/>
      <c r="M22" s="44">
        <f t="shared" si="3"/>
        <v>0</v>
      </c>
      <c r="N22" s="34"/>
    </row>
    <row r="23" s="20" customFormat="1" ht="22" customHeight="1" spans="2:14">
      <c r="B23" s="40">
        <v>686551.5</v>
      </c>
      <c r="C23" s="41">
        <f t="shared" si="1"/>
        <v>0</v>
      </c>
      <c r="D23" s="39">
        <v>900</v>
      </c>
      <c r="E23" s="20">
        <f t="shared" si="2"/>
        <v>0</v>
      </c>
      <c r="H23" s="42" t="s">
        <v>31</v>
      </c>
      <c r="I23" s="43"/>
      <c r="J23" s="36"/>
      <c r="K23" s="36"/>
      <c r="L23" s="38"/>
      <c r="M23" s="44">
        <f t="shared" si="3"/>
        <v>0</v>
      </c>
      <c r="N23" s="34"/>
    </row>
    <row r="24" s="20" customFormat="1" ht="22" customHeight="1" spans="2:14">
      <c r="B24" s="40">
        <v>686551.5</v>
      </c>
      <c r="C24" s="41">
        <f t="shared" si="1"/>
        <v>0</v>
      </c>
      <c r="D24" s="39">
        <v>900</v>
      </c>
      <c r="E24" s="20">
        <f t="shared" si="2"/>
        <v>0</v>
      </c>
      <c r="H24" s="42" t="s">
        <v>32</v>
      </c>
      <c r="I24" s="36"/>
      <c r="J24" s="36"/>
      <c r="K24" s="36"/>
      <c r="L24" s="38"/>
      <c r="M24" s="44">
        <f t="shared" si="3"/>
        <v>0</v>
      </c>
      <c r="N24" s="34"/>
    </row>
    <row r="25" s="20" customFormat="1" ht="22" customHeight="1" spans="2:14">
      <c r="B25" s="40">
        <v>686551.5</v>
      </c>
      <c r="C25" s="41">
        <f t="shared" si="1"/>
        <v>0</v>
      </c>
      <c r="D25" s="39">
        <v>900</v>
      </c>
      <c r="E25" s="20">
        <f t="shared" si="2"/>
        <v>0</v>
      </c>
      <c r="H25" s="42" t="s">
        <v>33</v>
      </c>
      <c r="I25" s="43"/>
      <c r="J25" s="36"/>
      <c r="K25" s="36"/>
      <c r="L25" s="38"/>
      <c r="M25" s="44">
        <f t="shared" si="3"/>
        <v>0</v>
      </c>
      <c r="N25" s="34"/>
    </row>
    <row r="26" s="20" customFormat="1" ht="22" customHeight="1" spans="2:14">
      <c r="B26" s="40">
        <v>686551.5</v>
      </c>
      <c r="C26" s="41">
        <f t="shared" si="1"/>
        <v>0</v>
      </c>
      <c r="D26" s="39">
        <v>900</v>
      </c>
      <c r="E26" s="20">
        <f t="shared" si="2"/>
        <v>0</v>
      </c>
      <c r="H26" s="42" t="s">
        <v>34</v>
      </c>
      <c r="I26" s="43"/>
      <c r="J26" s="36"/>
      <c r="K26" s="36"/>
      <c r="L26" s="38"/>
      <c r="M26" s="44">
        <f t="shared" si="3"/>
        <v>0</v>
      </c>
      <c r="N26" s="34"/>
    </row>
    <row r="27" s="20" customFormat="1" ht="22" customHeight="1" spans="2:14">
      <c r="B27" s="40">
        <v>686551.5</v>
      </c>
      <c r="C27" s="41">
        <f t="shared" si="1"/>
        <v>0</v>
      </c>
      <c r="D27" s="39">
        <v>900</v>
      </c>
      <c r="E27" s="20">
        <f t="shared" si="2"/>
        <v>0</v>
      </c>
      <c r="H27" s="42" t="s">
        <v>35</v>
      </c>
      <c r="I27" s="43"/>
      <c r="J27" s="36"/>
      <c r="K27" s="36"/>
      <c r="L27" s="38"/>
      <c r="M27" s="44">
        <f t="shared" si="3"/>
        <v>0</v>
      </c>
      <c r="N27" s="34"/>
    </row>
    <row r="28" s="20" customFormat="1" ht="22" customHeight="1" spans="2:14">
      <c r="B28" s="40">
        <v>686551.5</v>
      </c>
      <c r="C28" s="41">
        <f t="shared" si="1"/>
        <v>0</v>
      </c>
      <c r="D28" s="39">
        <v>900</v>
      </c>
      <c r="E28" s="20">
        <f t="shared" si="2"/>
        <v>0</v>
      </c>
      <c r="H28" s="42" t="s">
        <v>36</v>
      </c>
      <c r="I28" s="43"/>
      <c r="J28" s="36"/>
      <c r="K28" s="36"/>
      <c r="L28" s="38"/>
      <c r="M28" s="44">
        <f t="shared" si="3"/>
        <v>0</v>
      </c>
      <c r="N28" s="34"/>
    </row>
    <row r="29" s="20" customFormat="1" ht="22" customHeight="1" spans="2:14">
      <c r="B29" s="40">
        <v>686551.5</v>
      </c>
      <c r="C29" s="41">
        <f t="shared" si="1"/>
        <v>0</v>
      </c>
      <c r="D29" s="39">
        <v>900</v>
      </c>
      <c r="E29" s="20">
        <f t="shared" si="2"/>
        <v>0</v>
      </c>
      <c r="H29" s="42" t="s">
        <v>37</v>
      </c>
      <c r="I29" s="43"/>
      <c r="J29" s="36"/>
      <c r="K29" s="36"/>
      <c r="L29" s="38"/>
      <c r="M29" s="44">
        <f t="shared" si="3"/>
        <v>0</v>
      </c>
      <c r="N29" s="34"/>
    </row>
    <row r="30" s="20" customFormat="1" ht="22" customHeight="1" spans="2:14">
      <c r="B30" s="40">
        <v>686551.5</v>
      </c>
      <c r="C30" s="41">
        <f t="shared" si="1"/>
        <v>0</v>
      </c>
      <c r="D30" s="39">
        <v>900</v>
      </c>
      <c r="E30" s="20">
        <f t="shared" si="2"/>
        <v>0</v>
      </c>
      <c r="H30" s="42" t="s">
        <v>38</v>
      </c>
      <c r="I30" s="43"/>
      <c r="J30" s="36"/>
      <c r="K30" s="36"/>
      <c r="L30" s="38"/>
      <c r="M30" s="44">
        <f t="shared" si="3"/>
        <v>0</v>
      </c>
      <c r="N30" s="34"/>
    </row>
    <row r="31" s="20" customFormat="1" ht="22" customHeight="1" spans="2:14">
      <c r="B31" s="40">
        <v>686551.5</v>
      </c>
      <c r="C31" s="41">
        <f t="shared" si="1"/>
        <v>0</v>
      </c>
      <c r="D31" s="39">
        <v>900</v>
      </c>
      <c r="E31" s="20">
        <f t="shared" si="2"/>
        <v>0</v>
      </c>
      <c r="H31" s="42" t="s">
        <v>39</v>
      </c>
      <c r="I31" s="43"/>
      <c r="J31" s="36"/>
      <c r="K31" s="36"/>
      <c r="L31" s="38"/>
      <c r="M31" s="44">
        <f t="shared" si="3"/>
        <v>0</v>
      </c>
      <c r="N31" s="34"/>
    </row>
    <row r="32" s="20" customFormat="1" ht="22" customHeight="1" spans="2:14">
      <c r="B32" s="40">
        <v>686551.5</v>
      </c>
      <c r="C32" s="41">
        <f t="shared" si="1"/>
        <v>0</v>
      </c>
      <c r="D32" s="39">
        <v>900</v>
      </c>
      <c r="E32" s="20">
        <f t="shared" si="2"/>
        <v>0</v>
      </c>
      <c r="H32" s="42" t="s">
        <v>40</v>
      </c>
      <c r="I32" s="43"/>
      <c r="J32" s="36"/>
      <c r="K32" s="36"/>
      <c r="L32" s="38"/>
      <c r="M32" s="44">
        <f t="shared" si="3"/>
        <v>0</v>
      </c>
      <c r="N32" s="34"/>
    </row>
    <row r="33" s="20" customFormat="1" ht="22" customHeight="1" spans="2:14">
      <c r="B33" s="40">
        <v>686551.5</v>
      </c>
      <c r="C33" s="41">
        <f t="shared" si="1"/>
        <v>0</v>
      </c>
      <c r="D33" s="39">
        <v>900</v>
      </c>
      <c r="E33" s="20">
        <f t="shared" si="2"/>
        <v>0</v>
      </c>
      <c r="H33" s="42" t="s">
        <v>41</v>
      </c>
      <c r="I33" s="43"/>
      <c r="J33" s="36"/>
      <c r="K33" s="36"/>
      <c r="L33" s="38"/>
      <c r="M33" s="44">
        <f t="shared" si="3"/>
        <v>0</v>
      </c>
      <c r="N33" s="34"/>
    </row>
    <row r="34" s="20" customFormat="1" ht="22" customHeight="1" spans="2:14">
      <c r="B34" s="40">
        <v>686551.5</v>
      </c>
      <c r="C34" s="41">
        <f t="shared" si="1"/>
        <v>0</v>
      </c>
      <c r="D34" s="39">
        <v>900</v>
      </c>
      <c r="E34" s="20">
        <f t="shared" si="2"/>
        <v>0</v>
      </c>
      <c r="H34" s="42" t="s">
        <v>42</v>
      </c>
      <c r="I34" s="43"/>
      <c r="J34" s="36"/>
      <c r="K34" s="36"/>
      <c r="L34" s="38"/>
      <c r="M34" s="44">
        <f t="shared" si="3"/>
        <v>0</v>
      </c>
      <c r="N34" s="34"/>
    </row>
    <row r="35" s="20" customFormat="1" ht="22" customHeight="1" spans="2:14">
      <c r="B35" s="40">
        <v>686551.5</v>
      </c>
      <c r="C35" s="41">
        <f t="shared" si="1"/>
        <v>0</v>
      </c>
      <c r="D35" s="39">
        <v>900</v>
      </c>
      <c r="E35" s="20">
        <f t="shared" si="2"/>
        <v>0</v>
      </c>
      <c r="H35" s="42" t="s">
        <v>43</v>
      </c>
      <c r="I35" s="43"/>
      <c r="J35" s="36"/>
      <c r="K35" s="36"/>
      <c r="L35" s="38"/>
      <c r="M35" s="44">
        <f t="shared" si="3"/>
        <v>0</v>
      </c>
      <c r="N35" s="34"/>
    </row>
    <row r="36" s="20" customFormat="1" ht="22" customHeight="1" spans="2:14">
      <c r="B36" s="40">
        <v>686551.5</v>
      </c>
      <c r="C36" s="41">
        <f t="shared" si="1"/>
        <v>0</v>
      </c>
      <c r="D36" s="39">
        <v>900</v>
      </c>
      <c r="E36" s="20">
        <f t="shared" si="2"/>
        <v>0</v>
      </c>
      <c r="H36" s="45" t="s">
        <v>44</v>
      </c>
      <c r="I36" s="46"/>
      <c r="J36" s="47"/>
      <c r="K36" s="36"/>
      <c r="L36" s="38"/>
      <c r="M36" s="44">
        <f t="shared" si="3"/>
        <v>0</v>
      </c>
      <c r="N36" s="34"/>
    </row>
    <row r="37" s="20" customFormat="1" ht="22" customHeight="1" spans="2:14">
      <c r="B37" s="40">
        <v>686551.5</v>
      </c>
      <c r="C37" s="41">
        <f t="shared" si="1"/>
        <v>0</v>
      </c>
      <c r="D37" s="39">
        <v>900</v>
      </c>
      <c r="E37" s="20">
        <f t="shared" si="2"/>
        <v>0</v>
      </c>
      <c r="H37" s="42" t="s">
        <v>45</v>
      </c>
      <c r="I37" s="46"/>
      <c r="J37" s="47"/>
      <c r="K37" s="36"/>
      <c r="L37" s="38"/>
      <c r="M37" s="44">
        <f t="shared" si="3"/>
        <v>0</v>
      </c>
      <c r="N37" s="34"/>
    </row>
    <row r="38" s="20" customFormat="1" ht="22" customHeight="1" spans="2:14">
      <c r="B38" s="40">
        <v>686551.5</v>
      </c>
      <c r="C38" s="41">
        <f t="shared" si="1"/>
        <v>0</v>
      </c>
      <c r="D38" s="39">
        <v>900</v>
      </c>
      <c r="E38" s="20">
        <f t="shared" si="2"/>
        <v>0</v>
      </c>
      <c r="H38" s="42" t="s">
        <v>46</v>
      </c>
      <c r="I38" s="46"/>
      <c r="J38" s="47"/>
      <c r="K38" s="36"/>
      <c r="L38" s="38"/>
      <c r="M38" s="44">
        <f t="shared" si="3"/>
        <v>0</v>
      </c>
      <c r="N38" s="34"/>
    </row>
    <row r="39" s="20" customFormat="1" ht="22" customHeight="1" spans="2:14">
      <c r="B39" s="40">
        <v>686551.5</v>
      </c>
      <c r="C39" s="41">
        <f t="shared" si="1"/>
        <v>0</v>
      </c>
      <c r="D39" s="39">
        <v>900</v>
      </c>
      <c r="E39" s="20">
        <f t="shared" si="2"/>
        <v>0</v>
      </c>
      <c r="H39" s="42" t="s">
        <v>47</v>
      </c>
      <c r="I39" s="46"/>
      <c r="J39" s="47"/>
      <c r="K39" s="36"/>
      <c r="L39" s="38"/>
      <c r="M39" s="44">
        <f t="shared" si="3"/>
        <v>0</v>
      </c>
      <c r="N39" s="34"/>
    </row>
    <row r="40" s="20" customFormat="1" ht="22" customHeight="1" spans="2:14">
      <c r="B40" s="40">
        <v>686551.5</v>
      </c>
      <c r="C40" s="41">
        <f t="shared" si="1"/>
        <v>0</v>
      </c>
      <c r="D40" s="39">
        <v>900</v>
      </c>
      <c r="E40" s="20">
        <f t="shared" si="2"/>
        <v>0</v>
      </c>
      <c r="H40" s="42" t="s">
        <v>48</v>
      </c>
      <c r="I40" s="46"/>
      <c r="J40" s="47"/>
      <c r="K40" s="36"/>
      <c r="L40" s="38"/>
      <c r="M40" s="44">
        <f t="shared" si="3"/>
        <v>0</v>
      </c>
      <c r="N40" s="34"/>
    </row>
    <row r="41" s="20" customFormat="1" ht="22" customHeight="1" spans="2:14">
      <c r="B41" s="40">
        <v>686551.5</v>
      </c>
      <c r="C41" s="41">
        <f t="shared" si="1"/>
        <v>0</v>
      </c>
      <c r="D41" s="39">
        <v>900</v>
      </c>
      <c r="E41" s="20">
        <f t="shared" si="2"/>
        <v>0</v>
      </c>
      <c r="H41" s="42" t="s">
        <v>49</v>
      </c>
      <c r="I41" s="46"/>
      <c r="J41" s="47"/>
      <c r="K41" s="36"/>
      <c r="L41" s="38"/>
      <c r="M41" s="44">
        <f t="shared" si="3"/>
        <v>0</v>
      </c>
      <c r="N41" s="34"/>
    </row>
    <row r="42" s="20" customFormat="1" ht="22" customHeight="1" spans="2:14">
      <c r="B42" s="40">
        <v>686551.5</v>
      </c>
      <c r="C42" s="41">
        <f t="shared" si="1"/>
        <v>0</v>
      </c>
      <c r="D42" s="39">
        <v>900</v>
      </c>
      <c r="E42" s="20">
        <f t="shared" si="2"/>
        <v>0</v>
      </c>
      <c r="H42" s="42" t="s">
        <v>50</v>
      </c>
      <c r="I42" s="46"/>
      <c r="J42" s="47"/>
      <c r="K42" s="36"/>
      <c r="L42" s="38"/>
      <c r="M42" s="44">
        <f t="shared" si="3"/>
        <v>0</v>
      </c>
      <c r="N42" s="34"/>
    </row>
    <row r="43" s="20" customFormat="1" ht="22" customHeight="1" spans="2:14">
      <c r="B43" s="40">
        <v>686551.5</v>
      </c>
      <c r="C43" s="41">
        <f t="shared" si="1"/>
        <v>0</v>
      </c>
      <c r="D43" s="39">
        <v>900</v>
      </c>
      <c r="E43" s="20">
        <f t="shared" si="2"/>
        <v>0</v>
      </c>
      <c r="H43" s="42" t="s">
        <v>51</v>
      </c>
      <c r="I43" s="46"/>
      <c r="J43" s="47"/>
      <c r="K43" s="36"/>
      <c r="L43" s="38"/>
      <c r="M43" s="44">
        <f t="shared" si="3"/>
        <v>0</v>
      </c>
      <c r="N43" s="34"/>
    </row>
    <row r="44" s="20" customFormat="1" ht="22" customHeight="1" spans="2:14">
      <c r="B44" s="40">
        <v>686551.5</v>
      </c>
      <c r="C44" s="41">
        <f t="shared" si="1"/>
        <v>0</v>
      </c>
      <c r="D44" s="39">
        <v>900</v>
      </c>
      <c r="E44" s="20">
        <f t="shared" si="2"/>
        <v>0</v>
      </c>
      <c r="H44" s="42" t="s">
        <v>52</v>
      </c>
      <c r="I44" s="43"/>
      <c r="J44" s="36"/>
      <c r="K44" s="36"/>
      <c r="L44" s="38"/>
      <c r="M44" s="44">
        <f t="shared" si="3"/>
        <v>0</v>
      </c>
      <c r="N44" s="34"/>
    </row>
    <row r="45" s="20" customFormat="1" ht="22" customHeight="1" spans="2:14">
      <c r="B45" s="40">
        <v>686551.5</v>
      </c>
      <c r="C45" s="41">
        <f t="shared" si="1"/>
        <v>0</v>
      </c>
      <c r="D45" s="39">
        <v>900</v>
      </c>
      <c r="E45" s="20">
        <f t="shared" si="2"/>
        <v>0</v>
      </c>
      <c r="H45" s="42" t="s">
        <v>53</v>
      </c>
      <c r="I45" s="43"/>
      <c r="J45" s="36"/>
      <c r="K45" s="36"/>
      <c r="L45" s="38"/>
      <c r="M45" s="44">
        <f t="shared" si="3"/>
        <v>0</v>
      </c>
      <c r="N45" s="34"/>
    </row>
    <row r="46" s="20" customFormat="1" ht="22" customHeight="1" spans="2:14">
      <c r="B46" s="40">
        <v>686551.5</v>
      </c>
      <c r="C46" s="41">
        <f t="shared" si="1"/>
        <v>0</v>
      </c>
      <c r="D46" s="39">
        <v>900</v>
      </c>
      <c r="E46" s="20">
        <f t="shared" si="2"/>
        <v>0</v>
      </c>
      <c r="H46" s="42" t="s">
        <v>54</v>
      </c>
      <c r="I46" s="43"/>
      <c r="J46" s="36"/>
      <c r="K46" s="36"/>
      <c r="L46" s="38"/>
      <c r="M46" s="44">
        <f t="shared" si="3"/>
        <v>0</v>
      </c>
      <c r="N46" s="34"/>
    </row>
    <row r="47" s="20" customFormat="1" ht="22" customHeight="1" spans="2:14">
      <c r="B47" s="40">
        <v>686551.5</v>
      </c>
      <c r="C47" s="41">
        <f t="shared" si="1"/>
        <v>0</v>
      </c>
      <c r="D47" s="39">
        <v>900</v>
      </c>
      <c r="E47" s="20">
        <f t="shared" si="2"/>
        <v>0</v>
      </c>
      <c r="H47" s="42" t="s">
        <v>55</v>
      </c>
      <c r="I47" s="43"/>
      <c r="J47" s="36"/>
      <c r="K47" s="36"/>
      <c r="L47" s="38"/>
      <c r="M47" s="44">
        <f t="shared" si="3"/>
        <v>0</v>
      </c>
      <c r="N47" s="34"/>
    </row>
    <row r="48" s="20" customFormat="1" ht="22" customHeight="1" spans="2:14">
      <c r="B48" s="40">
        <v>686551.5</v>
      </c>
      <c r="C48" s="41">
        <f t="shared" si="1"/>
        <v>0</v>
      </c>
      <c r="D48" s="39">
        <v>900</v>
      </c>
      <c r="E48" s="20">
        <f t="shared" si="2"/>
        <v>0</v>
      </c>
      <c r="H48" s="42" t="s">
        <v>56</v>
      </c>
      <c r="I48" s="43"/>
      <c r="J48" s="36"/>
      <c r="K48" s="36"/>
      <c r="L48" s="38"/>
      <c r="M48" s="44">
        <f t="shared" si="3"/>
        <v>0</v>
      </c>
      <c r="N48" s="34"/>
    </row>
    <row r="49" s="20" customFormat="1" ht="22" customHeight="1" spans="2:14">
      <c r="B49" s="40">
        <v>686551.5</v>
      </c>
      <c r="C49" s="41">
        <f t="shared" si="1"/>
        <v>0</v>
      </c>
      <c r="D49" s="39">
        <v>900</v>
      </c>
      <c r="E49" s="20">
        <f t="shared" si="2"/>
        <v>0</v>
      </c>
      <c r="H49" s="42" t="s">
        <v>57</v>
      </c>
      <c r="I49" s="43"/>
      <c r="J49" s="36"/>
      <c r="K49" s="36"/>
      <c r="L49" s="38"/>
      <c r="M49" s="44">
        <f t="shared" si="3"/>
        <v>0</v>
      </c>
      <c r="N49" s="34"/>
    </row>
    <row r="50" s="20" customFormat="1" ht="22" customHeight="1" spans="2:14">
      <c r="B50" s="40">
        <v>686551.5</v>
      </c>
      <c r="C50" s="41">
        <f t="shared" si="1"/>
        <v>0</v>
      </c>
      <c r="D50" s="39">
        <v>900</v>
      </c>
      <c r="E50" s="20">
        <f t="shared" si="2"/>
        <v>0</v>
      </c>
      <c r="H50" s="42" t="s">
        <v>58</v>
      </c>
      <c r="I50" s="43"/>
      <c r="J50" s="36"/>
      <c r="K50" s="36"/>
      <c r="L50" s="38"/>
      <c r="M50" s="44">
        <f t="shared" si="3"/>
        <v>0</v>
      </c>
      <c r="N50" s="34"/>
    </row>
    <row r="51" s="20" customFormat="1" ht="22" customHeight="1" spans="2:14">
      <c r="B51" s="40">
        <v>686551.5</v>
      </c>
      <c r="C51" s="41">
        <f t="shared" si="1"/>
        <v>0</v>
      </c>
      <c r="D51" s="39">
        <v>900</v>
      </c>
      <c r="E51" s="20">
        <f t="shared" si="2"/>
        <v>0</v>
      </c>
      <c r="H51" s="42" t="s">
        <v>59</v>
      </c>
      <c r="I51" s="43"/>
      <c r="J51" s="36"/>
      <c r="K51" s="36"/>
      <c r="L51" s="38"/>
      <c r="M51" s="44">
        <f t="shared" si="3"/>
        <v>0</v>
      </c>
      <c r="N51" s="34"/>
    </row>
    <row r="52" s="20" customFormat="1" ht="22" customHeight="1" spans="2:14">
      <c r="B52" s="40">
        <v>686551.5</v>
      </c>
      <c r="C52" s="41">
        <f t="shared" si="1"/>
        <v>0</v>
      </c>
      <c r="D52" s="39">
        <v>900</v>
      </c>
      <c r="E52" s="20">
        <f t="shared" si="2"/>
        <v>0</v>
      </c>
      <c r="H52" s="42" t="s">
        <v>60</v>
      </c>
      <c r="I52" s="43"/>
      <c r="J52" s="36"/>
      <c r="K52" s="36"/>
      <c r="L52" s="38"/>
      <c r="M52" s="44">
        <f t="shared" si="3"/>
        <v>0</v>
      </c>
      <c r="N52" s="34"/>
    </row>
    <row r="53" s="20" customFormat="1" ht="22" customHeight="1" spans="2:14">
      <c r="B53" s="40"/>
      <c r="C53" s="41"/>
      <c r="D53" s="39"/>
      <c r="H53" s="48" t="s">
        <v>61</v>
      </c>
      <c r="I53" s="35">
        <f>SUM(I4:I52)</f>
        <v>0</v>
      </c>
      <c r="J53" s="35">
        <f>SUM(J4:J52)</f>
        <v>0</v>
      </c>
      <c r="K53" s="35">
        <f>SUM(K4:K52)</f>
        <v>0</v>
      </c>
      <c r="L53" s="35">
        <f>50*18</f>
        <v>900</v>
      </c>
      <c r="M53" s="44">
        <f t="shared" si="3"/>
        <v>900</v>
      </c>
      <c r="N53" s="35"/>
    </row>
  </sheetData>
  <mergeCells count="7">
    <mergeCell ref="H1:N1"/>
    <mergeCell ref="H2:H3"/>
    <mergeCell ref="I2:I3"/>
    <mergeCell ref="J2:J3"/>
    <mergeCell ref="K2:K3"/>
    <mergeCell ref="L2:L3"/>
    <mergeCell ref="N2:N3"/>
  </mergeCells>
  <printOptions gridLines="1"/>
  <pageMargins left="0.25" right="0.25" top="0.75" bottom="0.75" header="0.298611111111111" footer="0.298611111111111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82"/>
  <sheetViews>
    <sheetView topLeftCell="A24" workbookViewId="0">
      <selection activeCell="D59" sqref="D59"/>
    </sheetView>
  </sheetViews>
  <sheetFormatPr defaultColWidth="9" defaultRowHeight="13.5" outlineLevelCol="2"/>
  <cols>
    <col min="1" max="1" width="31.375"/>
    <col min="2" max="3" width="12"/>
  </cols>
  <sheetData>
    <row r="3" spans="1:3">
      <c r="A3" t="s">
        <v>62</v>
      </c>
      <c r="B3" t="s">
        <v>63</v>
      </c>
      <c r="C3" t="s">
        <v>64</v>
      </c>
    </row>
    <row r="4" spans="1:3">
      <c r="A4" t="s">
        <v>65</v>
      </c>
      <c r="B4">
        <v>1</v>
      </c>
      <c r="C4">
        <v>8</v>
      </c>
    </row>
    <row r="5" spans="1:3">
      <c r="A5" t="s">
        <v>66</v>
      </c>
      <c r="B5">
        <v>9</v>
      </c>
      <c r="C5">
        <v>72</v>
      </c>
    </row>
    <row r="6" spans="1:3">
      <c r="A6" t="s">
        <v>67</v>
      </c>
      <c r="B6">
        <v>1</v>
      </c>
      <c r="C6">
        <v>16.5</v>
      </c>
    </row>
    <row r="7" spans="1:3">
      <c r="A7" t="s">
        <v>68</v>
      </c>
      <c r="B7">
        <v>193</v>
      </c>
      <c r="C7">
        <v>3184.5</v>
      </c>
    </row>
    <row r="8" spans="1:3">
      <c r="A8" t="s">
        <v>69</v>
      </c>
      <c r="B8">
        <v>10</v>
      </c>
      <c r="C8">
        <v>80</v>
      </c>
    </row>
    <row r="9" spans="1:3">
      <c r="A9" t="s">
        <v>70</v>
      </c>
      <c r="B9">
        <v>16</v>
      </c>
      <c r="C9">
        <v>264</v>
      </c>
    </row>
    <row r="10" spans="1:3">
      <c r="A10" t="s">
        <v>71</v>
      </c>
      <c r="B10">
        <v>5</v>
      </c>
      <c r="C10">
        <v>82.5</v>
      </c>
    </row>
    <row r="11" spans="1:3">
      <c r="A11" t="s">
        <v>72</v>
      </c>
      <c r="B11">
        <v>14</v>
      </c>
      <c r="C11">
        <v>3696</v>
      </c>
    </row>
    <row r="12" spans="1:3">
      <c r="A12" t="s">
        <v>73</v>
      </c>
      <c r="B12">
        <v>16</v>
      </c>
      <c r="C12">
        <v>264</v>
      </c>
    </row>
    <row r="13" spans="1:3">
      <c r="A13" t="s">
        <v>74</v>
      </c>
      <c r="B13">
        <v>20</v>
      </c>
      <c r="C13">
        <v>300</v>
      </c>
    </row>
    <row r="14" spans="1:3">
      <c r="A14" t="s">
        <v>75</v>
      </c>
      <c r="B14">
        <v>34</v>
      </c>
      <c r="C14">
        <v>1309</v>
      </c>
    </row>
    <row r="15" spans="1:3">
      <c r="A15" t="s">
        <v>76</v>
      </c>
      <c r="B15">
        <v>46</v>
      </c>
      <c r="C15">
        <v>759</v>
      </c>
    </row>
    <row r="16" spans="1:3">
      <c r="A16" t="s">
        <v>77</v>
      </c>
      <c r="B16">
        <v>126</v>
      </c>
      <c r="C16">
        <v>2079</v>
      </c>
    </row>
    <row r="17" spans="1:3">
      <c r="A17" t="s">
        <v>78</v>
      </c>
      <c r="B17">
        <v>538</v>
      </c>
      <c r="C17">
        <v>47344</v>
      </c>
    </row>
    <row r="18" spans="1:3">
      <c r="A18" t="s">
        <v>79</v>
      </c>
      <c r="B18">
        <v>4</v>
      </c>
      <c r="C18">
        <v>418</v>
      </c>
    </row>
    <row r="19" spans="1:3">
      <c r="A19" t="s">
        <v>80</v>
      </c>
      <c r="B19">
        <v>1</v>
      </c>
      <c r="C19">
        <v>8</v>
      </c>
    </row>
    <row r="20" spans="1:3">
      <c r="A20" t="s">
        <v>81</v>
      </c>
      <c r="B20">
        <v>6</v>
      </c>
      <c r="C20">
        <v>99</v>
      </c>
    </row>
    <row r="21" spans="1:3">
      <c r="A21" t="s">
        <v>82</v>
      </c>
      <c r="B21">
        <v>1</v>
      </c>
      <c r="C21">
        <v>8</v>
      </c>
    </row>
    <row r="22" spans="1:3">
      <c r="A22" t="s">
        <v>83</v>
      </c>
      <c r="B22">
        <v>7</v>
      </c>
      <c r="C22">
        <v>115.5</v>
      </c>
    </row>
    <row r="23" spans="1:3">
      <c r="A23" t="s">
        <v>84</v>
      </c>
      <c r="B23">
        <v>49</v>
      </c>
      <c r="C23">
        <v>808.5</v>
      </c>
    </row>
    <row r="24" spans="1:3">
      <c r="A24" t="s">
        <v>85</v>
      </c>
      <c r="B24">
        <v>27</v>
      </c>
      <c r="C24">
        <v>445.5</v>
      </c>
    </row>
    <row r="25" spans="1:3">
      <c r="A25" t="s">
        <v>86</v>
      </c>
      <c r="B25">
        <v>29</v>
      </c>
      <c r="C25">
        <v>232</v>
      </c>
    </row>
    <row r="26" spans="1:3">
      <c r="A26" t="s">
        <v>87</v>
      </c>
      <c r="B26">
        <v>13</v>
      </c>
      <c r="C26">
        <v>214.5</v>
      </c>
    </row>
    <row r="27" spans="1:3">
      <c r="A27" t="s">
        <v>88</v>
      </c>
      <c r="B27">
        <v>39</v>
      </c>
      <c r="C27">
        <v>312</v>
      </c>
    </row>
    <row r="28" spans="1:3">
      <c r="A28" t="s">
        <v>89</v>
      </c>
      <c r="B28">
        <v>35</v>
      </c>
      <c r="C28">
        <v>577.5</v>
      </c>
    </row>
    <row r="29" spans="1:3">
      <c r="A29" t="s">
        <v>90</v>
      </c>
      <c r="B29">
        <v>73</v>
      </c>
      <c r="C29">
        <v>985.5</v>
      </c>
    </row>
    <row r="30" spans="1:3">
      <c r="A30" t="s">
        <v>91</v>
      </c>
      <c r="B30">
        <v>10</v>
      </c>
      <c r="C30">
        <v>110</v>
      </c>
    </row>
    <row r="31" spans="1:3">
      <c r="A31" t="s">
        <v>92</v>
      </c>
      <c r="B31">
        <v>23</v>
      </c>
      <c r="C31">
        <v>253</v>
      </c>
    </row>
    <row r="32" spans="1:3">
      <c r="A32" t="s">
        <v>93</v>
      </c>
      <c r="B32">
        <v>12</v>
      </c>
      <c r="C32">
        <v>96</v>
      </c>
    </row>
    <row r="33" spans="1:3">
      <c r="A33" t="s">
        <v>94</v>
      </c>
      <c r="B33">
        <v>4</v>
      </c>
      <c r="C33">
        <v>32</v>
      </c>
    </row>
    <row r="34" spans="1:3">
      <c r="A34" t="s">
        <v>95</v>
      </c>
      <c r="B34">
        <v>8</v>
      </c>
      <c r="C34">
        <v>64</v>
      </c>
    </row>
    <row r="35" spans="1:3">
      <c r="A35" t="s">
        <v>96</v>
      </c>
      <c r="B35">
        <v>1</v>
      </c>
      <c r="C35">
        <v>16.5</v>
      </c>
    </row>
    <row r="36" spans="1:3">
      <c r="A36" t="s">
        <v>97</v>
      </c>
      <c r="B36">
        <v>1</v>
      </c>
      <c r="C36">
        <v>16.5</v>
      </c>
    </row>
    <row r="37" spans="1:3">
      <c r="A37" t="s">
        <v>98</v>
      </c>
      <c r="B37">
        <v>1</v>
      </c>
      <c r="C37">
        <v>33</v>
      </c>
    </row>
    <row r="38" spans="1:3">
      <c r="A38" t="s">
        <v>99</v>
      </c>
      <c r="B38">
        <v>29</v>
      </c>
      <c r="C38">
        <v>391.5</v>
      </c>
    </row>
    <row r="39" spans="1:3">
      <c r="A39" t="s">
        <v>100</v>
      </c>
      <c r="B39">
        <v>1</v>
      </c>
      <c r="C39">
        <v>16.5</v>
      </c>
    </row>
    <row r="40" spans="1:3">
      <c r="A40" t="s">
        <v>101</v>
      </c>
      <c r="B40">
        <v>1</v>
      </c>
      <c r="C40">
        <v>11</v>
      </c>
    </row>
    <row r="41" spans="1:3">
      <c r="A41" t="s">
        <v>102</v>
      </c>
      <c r="B41">
        <v>6</v>
      </c>
      <c r="C41">
        <v>891</v>
      </c>
    </row>
    <row r="42" spans="1:3">
      <c r="A42" t="s">
        <v>103</v>
      </c>
      <c r="B42">
        <v>6</v>
      </c>
      <c r="C42">
        <v>396</v>
      </c>
    </row>
    <row r="43" spans="1:3">
      <c r="A43" t="s">
        <v>104</v>
      </c>
      <c r="B43">
        <v>8</v>
      </c>
      <c r="C43">
        <v>528</v>
      </c>
    </row>
    <row r="44" spans="1:3">
      <c r="A44" t="s">
        <v>105</v>
      </c>
      <c r="B44">
        <v>18</v>
      </c>
      <c r="C44">
        <v>1188</v>
      </c>
    </row>
    <row r="45" spans="1:3">
      <c r="A45" t="s">
        <v>106</v>
      </c>
      <c r="B45">
        <v>11</v>
      </c>
      <c r="C45">
        <v>726</v>
      </c>
    </row>
    <row r="46" spans="1:3">
      <c r="A46" t="s">
        <v>107</v>
      </c>
      <c r="B46">
        <v>12</v>
      </c>
      <c r="C46">
        <v>1056</v>
      </c>
    </row>
    <row r="47" spans="1:3">
      <c r="A47" t="s">
        <v>108</v>
      </c>
      <c r="B47">
        <v>3</v>
      </c>
      <c r="C47">
        <v>24</v>
      </c>
    </row>
    <row r="48" spans="1:3">
      <c r="A48" t="s">
        <v>109</v>
      </c>
      <c r="B48">
        <v>1</v>
      </c>
      <c r="C48">
        <v>170.5</v>
      </c>
    </row>
    <row r="49" spans="1:3">
      <c r="A49" t="s">
        <v>110</v>
      </c>
      <c r="B49">
        <v>82</v>
      </c>
      <c r="C49">
        <v>4510</v>
      </c>
    </row>
    <row r="50" spans="1:3">
      <c r="A50" t="s">
        <v>111</v>
      </c>
      <c r="B50">
        <v>38</v>
      </c>
      <c r="C50">
        <v>95</v>
      </c>
    </row>
    <row r="51" spans="1:3">
      <c r="A51" t="s">
        <v>112</v>
      </c>
      <c r="B51">
        <v>27</v>
      </c>
      <c r="C51">
        <v>4158</v>
      </c>
    </row>
    <row r="52" spans="1:3">
      <c r="A52" t="s">
        <v>113</v>
      </c>
      <c r="B52">
        <v>22</v>
      </c>
      <c r="C52">
        <v>176</v>
      </c>
    </row>
    <row r="53" spans="1:3">
      <c r="A53" t="s">
        <v>114</v>
      </c>
      <c r="B53">
        <v>1</v>
      </c>
      <c r="C53">
        <v>8</v>
      </c>
    </row>
    <row r="54" spans="1:3">
      <c r="A54" t="s">
        <v>115</v>
      </c>
      <c r="B54">
        <v>32</v>
      </c>
      <c r="C54">
        <v>256</v>
      </c>
    </row>
    <row r="55" spans="1:3">
      <c r="A55" t="s">
        <v>116</v>
      </c>
      <c r="B55">
        <v>32</v>
      </c>
      <c r="C55">
        <v>528</v>
      </c>
    </row>
    <row r="56" spans="1:3">
      <c r="A56" t="s">
        <v>117</v>
      </c>
      <c r="B56">
        <v>1</v>
      </c>
      <c r="C56">
        <v>30</v>
      </c>
    </row>
    <row r="57" spans="1:3">
      <c r="A57" t="s">
        <v>118</v>
      </c>
      <c r="B57">
        <v>2</v>
      </c>
      <c r="C57">
        <v>22</v>
      </c>
    </row>
    <row r="58" spans="1:3">
      <c r="A58" t="s">
        <v>119</v>
      </c>
      <c r="B58">
        <v>66</v>
      </c>
      <c r="C58">
        <v>1089</v>
      </c>
    </row>
    <row r="59" spans="1:3">
      <c r="A59" t="s">
        <v>120</v>
      </c>
      <c r="B59">
        <v>10</v>
      </c>
      <c r="C59">
        <v>80</v>
      </c>
    </row>
    <row r="60" spans="1:3">
      <c r="A60" t="s">
        <v>121</v>
      </c>
      <c r="B60">
        <v>15</v>
      </c>
      <c r="C60">
        <v>2475</v>
      </c>
    </row>
    <row r="61" spans="1:3">
      <c r="A61" t="s">
        <v>122</v>
      </c>
      <c r="B61">
        <v>4</v>
      </c>
      <c r="C61">
        <v>88</v>
      </c>
    </row>
    <row r="62" spans="1:3">
      <c r="A62" t="s">
        <v>123</v>
      </c>
      <c r="B62">
        <v>3</v>
      </c>
      <c r="C62">
        <v>40.5</v>
      </c>
    </row>
    <row r="63" spans="1:3">
      <c r="A63" t="s">
        <v>124</v>
      </c>
      <c r="B63">
        <v>5</v>
      </c>
      <c r="C63">
        <v>82.5</v>
      </c>
    </row>
    <row r="64" spans="1:3">
      <c r="A64" t="s">
        <v>125</v>
      </c>
      <c r="B64">
        <v>2</v>
      </c>
      <c r="C64">
        <v>55</v>
      </c>
    </row>
    <row r="65" spans="1:3">
      <c r="A65" t="s">
        <v>126</v>
      </c>
      <c r="B65">
        <v>7</v>
      </c>
      <c r="C65">
        <v>115.5</v>
      </c>
    </row>
    <row r="66" spans="1:3">
      <c r="A66" t="s">
        <v>127</v>
      </c>
      <c r="B66">
        <v>5</v>
      </c>
      <c r="C66">
        <v>82.5</v>
      </c>
    </row>
    <row r="67" spans="1:3">
      <c r="A67" t="s">
        <v>128</v>
      </c>
      <c r="B67">
        <v>1</v>
      </c>
      <c r="C67">
        <v>13</v>
      </c>
    </row>
    <row r="68" spans="1:3">
      <c r="A68" t="s">
        <v>129</v>
      </c>
      <c r="B68">
        <v>138</v>
      </c>
      <c r="C68">
        <v>1794</v>
      </c>
    </row>
    <row r="69" spans="1:3">
      <c r="A69" t="s">
        <v>130</v>
      </c>
      <c r="B69">
        <v>91</v>
      </c>
      <c r="C69">
        <v>1501.5</v>
      </c>
    </row>
    <row r="70" spans="1:3">
      <c r="A70" t="s">
        <v>131</v>
      </c>
      <c r="B70">
        <v>35</v>
      </c>
      <c r="C70">
        <v>577.5</v>
      </c>
    </row>
    <row r="71" spans="1:3">
      <c r="A71" t="s">
        <v>132</v>
      </c>
      <c r="B71">
        <v>2</v>
      </c>
      <c r="C71">
        <v>33</v>
      </c>
    </row>
    <row r="72" spans="1:3">
      <c r="A72" t="s">
        <v>133</v>
      </c>
      <c r="B72">
        <v>3</v>
      </c>
      <c r="C72">
        <v>49.5</v>
      </c>
    </row>
    <row r="73" spans="1:3">
      <c r="A73" t="s">
        <v>134</v>
      </c>
      <c r="B73">
        <v>4</v>
      </c>
      <c r="C73">
        <v>88</v>
      </c>
    </row>
    <row r="74" spans="1:3">
      <c r="A74" t="s">
        <v>135</v>
      </c>
      <c r="B74">
        <v>1</v>
      </c>
      <c r="C74">
        <v>13.5</v>
      </c>
    </row>
    <row r="75" spans="1:3">
      <c r="A75" t="s">
        <v>136</v>
      </c>
      <c r="B75">
        <v>1</v>
      </c>
      <c r="C75">
        <v>176</v>
      </c>
    </row>
    <row r="76" spans="1:3">
      <c r="A76" t="s">
        <v>137</v>
      </c>
      <c r="B76">
        <v>40</v>
      </c>
      <c r="C76">
        <v>320</v>
      </c>
    </row>
    <row r="77" spans="1:3">
      <c r="A77" t="s">
        <v>138</v>
      </c>
      <c r="B77">
        <v>30</v>
      </c>
      <c r="C77">
        <v>660</v>
      </c>
    </row>
    <row r="78" spans="1:3">
      <c r="A78" t="s">
        <v>139</v>
      </c>
      <c r="B78">
        <v>14</v>
      </c>
      <c r="C78">
        <v>231</v>
      </c>
    </row>
    <row r="79" spans="1:3">
      <c r="A79" t="s">
        <v>140</v>
      </c>
      <c r="B79">
        <v>5</v>
      </c>
      <c r="C79">
        <v>82.5</v>
      </c>
    </row>
    <row r="80" spans="1:3">
      <c r="A80" t="s">
        <v>141</v>
      </c>
      <c r="B80">
        <v>15</v>
      </c>
      <c r="C80">
        <v>120</v>
      </c>
    </row>
    <row r="81" spans="1:3">
      <c r="A81" t="s">
        <v>142</v>
      </c>
    </row>
    <row r="82" spans="1:3">
      <c r="A82" t="s">
        <v>61</v>
      </c>
      <c r="B82">
        <v>2203</v>
      </c>
      <c r="C82">
        <v>89252.5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57"/>
  <sheetViews>
    <sheetView workbookViewId="0">
      <selection activeCell="G16" sqref="G16"/>
    </sheetView>
  </sheetViews>
  <sheetFormatPr defaultColWidth="9" defaultRowHeight="13.5" outlineLevelCol="7"/>
  <cols>
    <col min="1" max="1" width="9.28333333333333" customWidth="1"/>
    <col min="2" max="2" width="8.93333333333333" customWidth="1"/>
    <col min="3" max="3" width="14.95" customWidth="1"/>
    <col min="4" max="4" width="9.36666666666667" customWidth="1"/>
    <col min="5" max="5" width="24.8166666666667" customWidth="1"/>
    <col min="6" max="6" width="6.475" customWidth="1"/>
    <col min="7" max="7" width="12.2083333333333" customWidth="1"/>
    <col min="8" max="8" width="12.5" customWidth="1"/>
  </cols>
  <sheetData>
    <row r="1" customFormat="1" spans="1:8">
      <c r="A1" s="4" t="s">
        <v>143</v>
      </c>
      <c r="B1" s="4" t="s">
        <v>144</v>
      </c>
      <c r="C1" s="4" t="s">
        <v>145</v>
      </c>
      <c r="D1" s="4" t="s">
        <v>146</v>
      </c>
      <c r="E1" s="4" t="s">
        <v>62</v>
      </c>
      <c r="F1" s="4" t="s">
        <v>147</v>
      </c>
      <c r="G1" s="4" t="s">
        <v>148</v>
      </c>
      <c r="H1" s="4" t="s">
        <v>149</v>
      </c>
    </row>
    <row r="2" customFormat="1" spans="1:8">
      <c r="A2" s="2">
        <v>46151</v>
      </c>
      <c r="B2" s="3">
        <v>1601602</v>
      </c>
      <c r="C2" s="3" t="s">
        <v>150</v>
      </c>
      <c r="D2" s="4">
        <v>20326613</v>
      </c>
      <c r="E2" s="3" t="s">
        <v>78</v>
      </c>
      <c r="F2" s="4">
        <v>14</v>
      </c>
      <c r="G2" s="5">
        <v>88</v>
      </c>
      <c r="H2" s="5">
        <f t="shared" ref="H2:H65" si="0">G2*F2</f>
        <v>1232</v>
      </c>
    </row>
    <row r="3" customFormat="1" spans="1:8">
      <c r="A3" s="2">
        <v>46151</v>
      </c>
      <c r="B3" s="3">
        <v>1601602</v>
      </c>
      <c r="C3" s="3" t="s">
        <v>150</v>
      </c>
      <c r="D3" s="4">
        <v>20312951</v>
      </c>
      <c r="E3" s="3" t="s">
        <v>121</v>
      </c>
      <c r="F3" s="4">
        <v>1</v>
      </c>
      <c r="G3" s="5">
        <v>165</v>
      </c>
      <c r="H3" s="5">
        <f t="shared" si="0"/>
        <v>165</v>
      </c>
    </row>
    <row r="4" customFormat="1" spans="1:8">
      <c r="A4" s="2">
        <v>46151</v>
      </c>
      <c r="B4" s="3">
        <v>1601602</v>
      </c>
      <c r="C4" s="3" t="s">
        <v>151</v>
      </c>
      <c r="D4" s="4">
        <v>20329846</v>
      </c>
      <c r="E4" s="3" t="s">
        <v>90</v>
      </c>
      <c r="F4" s="4">
        <v>1</v>
      </c>
      <c r="G4" s="5">
        <v>13.5</v>
      </c>
      <c r="H4" s="5">
        <f t="shared" si="0"/>
        <v>13.5</v>
      </c>
    </row>
    <row r="5" customFormat="1" spans="1:8">
      <c r="A5" s="2">
        <v>46151</v>
      </c>
      <c r="B5" s="3">
        <v>1601602</v>
      </c>
      <c r="C5" s="3" t="s">
        <v>151</v>
      </c>
      <c r="D5" s="4">
        <v>20329843</v>
      </c>
      <c r="E5" s="3" t="s">
        <v>92</v>
      </c>
      <c r="F5" s="4">
        <v>2</v>
      </c>
      <c r="G5" s="5">
        <v>11</v>
      </c>
      <c r="H5" s="5">
        <f t="shared" si="0"/>
        <v>22</v>
      </c>
    </row>
    <row r="6" customFormat="1" spans="1:8">
      <c r="A6" s="2">
        <v>46151</v>
      </c>
      <c r="B6" s="3">
        <v>1601602</v>
      </c>
      <c r="C6" s="3" t="s">
        <v>151</v>
      </c>
      <c r="D6" s="4">
        <v>20318250</v>
      </c>
      <c r="E6" s="3" t="s">
        <v>113</v>
      </c>
      <c r="F6" s="4">
        <v>1</v>
      </c>
      <c r="G6" s="5">
        <v>8</v>
      </c>
      <c r="H6" s="5">
        <f t="shared" si="0"/>
        <v>8</v>
      </c>
    </row>
    <row r="7" customFormat="1" spans="1:8">
      <c r="A7" s="2">
        <v>46151</v>
      </c>
      <c r="B7" s="3">
        <v>1601602</v>
      </c>
      <c r="C7" s="3" t="s">
        <v>151</v>
      </c>
      <c r="D7" s="4">
        <v>20331668</v>
      </c>
      <c r="E7" s="3" t="s">
        <v>115</v>
      </c>
      <c r="F7" s="4">
        <v>2</v>
      </c>
      <c r="G7" s="5">
        <v>8</v>
      </c>
      <c r="H7" s="5">
        <f t="shared" si="0"/>
        <v>16</v>
      </c>
    </row>
    <row r="8" customFormat="1" spans="1:8">
      <c r="A8" s="2">
        <v>46151</v>
      </c>
      <c r="B8" s="3">
        <v>1601602</v>
      </c>
      <c r="C8" s="3" t="s">
        <v>151</v>
      </c>
      <c r="D8" s="4">
        <v>20333778</v>
      </c>
      <c r="E8" s="3" t="s">
        <v>116</v>
      </c>
      <c r="F8" s="4">
        <v>1</v>
      </c>
      <c r="G8" s="5">
        <v>16.5</v>
      </c>
      <c r="H8" s="5">
        <f t="shared" si="0"/>
        <v>16.5</v>
      </c>
    </row>
    <row r="9" customFormat="1" spans="1:8">
      <c r="A9" s="2">
        <v>46151</v>
      </c>
      <c r="B9" s="3">
        <v>1601602</v>
      </c>
      <c r="C9" s="3" t="s">
        <v>151</v>
      </c>
      <c r="D9" s="4">
        <v>20329847</v>
      </c>
      <c r="E9" s="3" t="s">
        <v>129</v>
      </c>
      <c r="F9" s="4">
        <v>5</v>
      </c>
      <c r="G9" s="5">
        <v>13</v>
      </c>
      <c r="H9" s="5">
        <f t="shared" si="0"/>
        <v>65</v>
      </c>
    </row>
    <row r="10" customFormat="1" spans="1:8">
      <c r="A10" s="2">
        <v>46151</v>
      </c>
      <c r="B10" s="3">
        <v>1601602</v>
      </c>
      <c r="C10" s="3" t="s">
        <v>151</v>
      </c>
      <c r="D10" s="4">
        <v>20318231</v>
      </c>
      <c r="E10" s="3" t="s">
        <v>130</v>
      </c>
      <c r="F10" s="4">
        <v>1</v>
      </c>
      <c r="G10" s="5">
        <v>16.5</v>
      </c>
      <c r="H10" s="5">
        <f t="shared" si="0"/>
        <v>16.5</v>
      </c>
    </row>
    <row r="11" customFormat="1" spans="1:8">
      <c r="A11" s="2">
        <v>46151</v>
      </c>
      <c r="B11" s="3">
        <v>1601602</v>
      </c>
      <c r="C11" s="3" t="s">
        <v>151</v>
      </c>
      <c r="D11" s="4">
        <v>20333142</v>
      </c>
      <c r="E11" s="3" t="s">
        <v>138</v>
      </c>
      <c r="F11" s="4">
        <v>2</v>
      </c>
      <c r="G11" s="5">
        <v>22</v>
      </c>
      <c r="H11" s="5">
        <f t="shared" si="0"/>
        <v>44</v>
      </c>
    </row>
    <row r="12" customFormat="1" spans="1:8">
      <c r="A12" s="2">
        <v>46151</v>
      </c>
      <c r="B12" s="3">
        <v>1601602</v>
      </c>
      <c r="C12" s="3" t="s">
        <v>151</v>
      </c>
      <c r="D12" s="4">
        <v>20318254</v>
      </c>
      <c r="E12" s="3" t="s">
        <v>139</v>
      </c>
      <c r="F12" s="4">
        <v>1</v>
      </c>
      <c r="G12" s="5">
        <v>16.5</v>
      </c>
      <c r="H12" s="5">
        <f t="shared" si="0"/>
        <v>16.5</v>
      </c>
    </row>
    <row r="13" customFormat="1" spans="1:8">
      <c r="A13" s="2">
        <v>46151</v>
      </c>
      <c r="B13" s="3">
        <v>1601602</v>
      </c>
      <c r="C13" s="3" t="s">
        <v>152</v>
      </c>
      <c r="D13" s="4">
        <v>20328892</v>
      </c>
      <c r="E13" s="3" t="s">
        <v>107</v>
      </c>
      <c r="F13" s="4">
        <v>1</v>
      </c>
      <c r="G13" s="5">
        <v>88</v>
      </c>
      <c r="H13" s="5">
        <f t="shared" si="0"/>
        <v>88</v>
      </c>
    </row>
    <row r="14" customFormat="1" spans="1:8">
      <c r="A14" s="14">
        <v>46151</v>
      </c>
      <c r="B14" s="15">
        <v>1601602</v>
      </c>
      <c r="C14" s="15" t="s">
        <v>153</v>
      </c>
      <c r="D14" s="16">
        <v>20335814</v>
      </c>
      <c r="E14" s="15" t="s">
        <v>67</v>
      </c>
      <c r="F14" s="16">
        <v>1</v>
      </c>
      <c r="G14" s="17">
        <v>16.5</v>
      </c>
      <c r="H14" s="17">
        <f t="shared" si="0"/>
        <v>16.5</v>
      </c>
    </row>
    <row r="15" customFormat="1" spans="1:8">
      <c r="A15" s="2">
        <v>46151</v>
      </c>
      <c r="B15" s="3">
        <v>1601602</v>
      </c>
      <c r="C15" s="3" t="s">
        <v>153</v>
      </c>
      <c r="D15" s="4">
        <v>20329844</v>
      </c>
      <c r="E15" s="3" t="s">
        <v>70</v>
      </c>
      <c r="F15" s="4">
        <v>1</v>
      </c>
      <c r="G15" s="5">
        <v>16.5</v>
      </c>
      <c r="H15" s="5">
        <f t="shared" si="0"/>
        <v>16.5</v>
      </c>
    </row>
    <row r="16" customFormat="1" spans="1:8">
      <c r="A16" s="2">
        <v>46151</v>
      </c>
      <c r="B16" s="3">
        <v>1601602</v>
      </c>
      <c r="C16" s="3" t="s">
        <v>153</v>
      </c>
      <c r="D16" s="4">
        <v>20318262</v>
      </c>
      <c r="E16" s="3" t="s">
        <v>77</v>
      </c>
      <c r="F16" s="4">
        <v>2</v>
      </c>
      <c r="G16" s="5">
        <v>16.5</v>
      </c>
      <c r="H16" s="5">
        <f t="shared" si="0"/>
        <v>33</v>
      </c>
    </row>
    <row r="17" customFormat="1" spans="1:8">
      <c r="A17" s="14">
        <v>46151</v>
      </c>
      <c r="B17" s="15">
        <v>1601602</v>
      </c>
      <c r="C17" s="15" t="s">
        <v>153</v>
      </c>
      <c r="D17" s="16">
        <v>20014827</v>
      </c>
      <c r="E17" s="15" t="s">
        <v>84</v>
      </c>
      <c r="F17" s="16">
        <v>1</v>
      </c>
      <c r="G17" s="17">
        <v>16.5</v>
      </c>
      <c r="H17" s="17">
        <f t="shared" si="0"/>
        <v>16.5</v>
      </c>
    </row>
    <row r="18" customFormat="1" spans="1:8">
      <c r="A18" s="2">
        <v>46151</v>
      </c>
      <c r="B18" s="3">
        <v>1601602</v>
      </c>
      <c r="C18" s="3" t="s">
        <v>153</v>
      </c>
      <c r="D18" s="4">
        <v>20321688</v>
      </c>
      <c r="E18" s="3" t="s">
        <v>87</v>
      </c>
      <c r="F18" s="4">
        <v>1</v>
      </c>
      <c r="G18" s="5">
        <v>16.5</v>
      </c>
      <c r="H18" s="5">
        <f t="shared" si="0"/>
        <v>16.5</v>
      </c>
    </row>
    <row r="19" customFormat="1" spans="1:8">
      <c r="A19" s="2">
        <v>46151</v>
      </c>
      <c r="B19" s="3">
        <v>1601602</v>
      </c>
      <c r="C19" s="3" t="s">
        <v>153</v>
      </c>
      <c r="D19" s="4">
        <v>20321468</v>
      </c>
      <c r="E19" s="3" t="s">
        <v>89</v>
      </c>
      <c r="F19" s="4">
        <v>1</v>
      </c>
      <c r="G19" s="5">
        <v>16.5</v>
      </c>
      <c r="H19" s="5">
        <f t="shared" si="0"/>
        <v>16.5</v>
      </c>
    </row>
    <row r="20" customFormat="1" spans="1:8">
      <c r="A20" s="2">
        <v>46151</v>
      </c>
      <c r="B20" s="3">
        <v>1601602</v>
      </c>
      <c r="C20" s="3" t="s">
        <v>153</v>
      </c>
      <c r="D20" s="4">
        <v>20318197</v>
      </c>
      <c r="E20" s="3" t="s">
        <v>119</v>
      </c>
      <c r="F20" s="4">
        <v>5</v>
      </c>
      <c r="G20" s="5">
        <v>16.5</v>
      </c>
      <c r="H20" s="5">
        <f t="shared" si="0"/>
        <v>82.5</v>
      </c>
    </row>
    <row r="21" customFormat="1" spans="1:8">
      <c r="A21" s="2">
        <v>46151</v>
      </c>
      <c r="B21" s="3">
        <v>1601602</v>
      </c>
      <c r="C21" s="3" t="s">
        <v>153</v>
      </c>
      <c r="D21" s="4">
        <v>20342042</v>
      </c>
      <c r="E21" s="3" t="s">
        <v>131</v>
      </c>
      <c r="F21" s="4">
        <v>2</v>
      </c>
      <c r="G21" s="5">
        <v>16.5</v>
      </c>
      <c r="H21" s="5">
        <f t="shared" si="0"/>
        <v>33</v>
      </c>
    </row>
    <row r="22" customFormat="1" spans="1:8">
      <c r="A22" s="2">
        <v>46151</v>
      </c>
      <c r="B22" s="3">
        <v>1601710</v>
      </c>
      <c r="C22" s="3" t="s">
        <v>150</v>
      </c>
      <c r="D22" s="4">
        <v>20326613</v>
      </c>
      <c r="E22" s="3" t="s">
        <v>78</v>
      </c>
      <c r="F22" s="4">
        <v>7</v>
      </c>
      <c r="G22" s="5">
        <v>88</v>
      </c>
      <c r="H22" s="5">
        <f t="shared" si="0"/>
        <v>616</v>
      </c>
    </row>
    <row r="23" customFormat="1" spans="1:8">
      <c r="A23" s="2">
        <v>46151</v>
      </c>
      <c r="B23" s="3">
        <v>1601710</v>
      </c>
      <c r="C23" s="3" t="s">
        <v>151</v>
      </c>
      <c r="D23" s="4">
        <v>20318257</v>
      </c>
      <c r="E23" s="3" t="s">
        <v>86</v>
      </c>
      <c r="F23" s="4">
        <v>1</v>
      </c>
      <c r="G23" s="5">
        <v>8</v>
      </c>
      <c r="H23" s="5">
        <f t="shared" si="0"/>
        <v>8</v>
      </c>
    </row>
    <row r="24" customFormat="1" spans="1:8">
      <c r="A24" s="2">
        <v>46151</v>
      </c>
      <c r="B24" s="3">
        <v>1601710</v>
      </c>
      <c r="C24" s="3" t="s">
        <v>151</v>
      </c>
      <c r="D24" s="4">
        <v>20329846</v>
      </c>
      <c r="E24" s="3" t="s">
        <v>90</v>
      </c>
      <c r="F24" s="4">
        <v>3</v>
      </c>
      <c r="G24" s="5">
        <v>13.5</v>
      </c>
      <c r="H24" s="5">
        <f t="shared" si="0"/>
        <v>40.5</v>
      </c>
    </row>
    <row r="25" customFormat="1" spans="1:8">
      <c r="A25" s="2">
        <v>46151</v>
      </c>
      <c r="B25" s="3">
        <v>1601710</v>
      </c>
      <c r="C25" s="3" t="s">
        <v>151</v>
      </c>
      <c r="D25" s="4">
        <v>20329843</v>
      </c>
      <c r="E25" s="3" t="s">
        <v>92</v>
      </c>
      <c r="F25" s="4">
        <v>1</v>
      </c>
      <c r="G25" s="5">
        <v>11</v>
      </c>
      <c r="H25" s="5">
        <f t="shared" si="0"/>
        <v>11</v>
      </c>
    </row>
    <row r="26" customFormat="1" spans="1:8">
      <c r="A26" s="2">
        <v>46151</v>
      </c>
      <c r="B26" s="3">
        <v>1601710</v>
      </c>
      <c r="C26" s="3" t="s">
        <v>151</v>
      </c>
      <c r="D26" s="4">
        <v>20329981</v>
      </c>
      <c r="E26" s="3" t="s">
        <v>95</v>
      </c>
      <c r="F26" s="4">
        <v>1</v>
      </c>
      <c r="G26" s="5">
        <v>8</v>
      </c>
      <c r="H26" s="5">
        <f t="shared" si="0"/>
        <v>8</v>
      </c>
    </row>
    <row r="27" customFormat="1" spans="1:8">
      <c r="A27" s="2">
        <v>46151</v>
      </c>
      <c r="B27" s="3">
        <v>1601710</v>
      </c>
      <c r="C27" s="3" t="s">
        <v>151</v>
      </c>
      <c r="D27" s="4">
        <v>20329847</v>
      </c>
      <c r="E27" s="3" t="s">
        <v>129</v>
      </c>
      <c r="F27" s="4">
        <v>2</v>
      </c>
      <c r="G27" s="5">
        <v>13</v>
      </c>
      <c r="H27" s="5">
        <f t="shared" si="0"/>
        <v>26</v>
      </c>
    </row>
    <row r="28" customFormat="1" spans="1:8">
      <c r="A28" s="2">
        <v>46151</v>
      </c>
      <c r="B28" s="3">
        <v>1601710</v>
      </c>
      <c r="C28" s="3" t="s">
        <v>151</v>
      </c>
      <c r="D28" s="4">
        <v>20333142</v>
      </c>
      <c r="E28" s="3" t="s">
        <v>138</v>
      </c>
      <c r="F28" s="4">
        <v>2</v>
      </c>
      <c r="G28" s="5">
        <v>22</v>
      </c>
      <c r="H28" s="5">
        <f t="shared" si="0"/>
        <v>44</v>
      </c>
    </row>
    <row r="29" customFormat="1" spans="1:8">
      <c r="A29" s="2">
        <v>46151</v>
      </c>
      <c r="B29" s="3">
        <v>1601710</v>
      </c>
      <c r="C29" s="3" t="s">
        <v>151</v>
      </c>
      <c r="D29" s="4">
        <v>20318254</v>
      </c>
      <c r="E29" s="3" t="s">
        <v>139</v>
      </c>
      <c r="F29" s="4">
        <v>1</v>
      </c>
      <c r="G29" s="5">
        <v>16.5</v>
      </c>
      <c r="H29" s="5">
        <f t="shared" si="0"/>
        <v>16.5</v>
      </c>
    </row>
    <row r="30" customFormat="1" spans="1:8">
      <c r="A30" s="2">
        <v>46151</v>
      </c>
      <c r="B30" s="3">
        <v>1601710</v>
      </c>
      <c r="C30" s="3" t="s">
        <v>151</v>
      </c>
      <c r="D30" s="4">
        <v>20331472</v>
      </c>
      <c r="E30" s="3" t="s">
        <v>141</v>
      </c>
      <c r="F30" s="4">
        <v>1</v>
      </c>
      <c r="G30" s="5">
        <v>8</v>
      </c>
      <c r="H30" s="5">
        <f t="shared" si="0"/>
        <v>8</v>
      </c>
    </row>
    <row r="31" customFormat="1" spans="1:8">
      <c r="A31" s="2">
        <v>46151</v>
      </c>
      <c r="B31" s="3">
        <v>1601710</v>
      </c>
      <c r="C31" s="3" t="s">
        <v>153</v>
      </c>
      <c r="D31" s="4">
        <v>20321257</v>
      </c>
      <c r="E31" s="3" t="s">
        <v>68</v>
      </c>
      <c r="F31" s="4">
        <v>8</v>
      </c>
      <c r="G31" s="5">
        <v>16.5</v>
      </c>
      <c r="H31" s="5">
        <f t="shared" si="0"/>
        <v>132</v>
      </c>
    </row>
    <row r="32" customFormat="1" spans="1:8">
      <c r="A32" s="2">
        <v>46151</v>
      </c>
      <c r="B32" s="3">
        <v>1601710</v>
      </c>
      <c r="C32" s="3" t="s">
        <v>153</v>
      </c>
      <c r="D32" s="4">
        <v>20318262</v>
      </c>
      <c r="E32" s="3" t="s">
        <v>77</v>
      </c>
      <c r="F32" s="4">
        <v>1</v>
      </c>
      <c r="G32" s="5">
        <v>16.5</v>
      </c>
      <c r="H32" s="5">
        <f t="shared" si="0"/>
        <v>16.5</v>
      </c>
    </row>
    <row r="33" customFormat="1" spans="1:8">
      <c r="A33" s="2">
        <v>46151</v>
      </c>
      <c r="B33" s="3">
        <v>1601734</v>
      </c>
      <c r="C33" s="3" t="s">
        <v>150</v>
      </c>
      <c r="D33" s="4">
        <v>20328374</v>
      </c>
      <c r="E33" s="3" t="s">
        <v>72</v>
      </c>
      <c r="F33" s="4">
        <v>1</v>
      </c>
      <c r="G33" s="5">
        <v>264</v>
      </c>
      <c r="H33" s="5">
        <f t="shared" si="0"/>
        <v>264</v>
      </c>
    </row>
    <row r="34" customFormat="1" spans="1:8">
      <c r="A34" s="2">
        <v>46151</v>
      </c>
      <c r="B34" s="3">
        <v>1601734</v>
      </c>
      <c r="C34" s="3" t="s">
        <v>150</v>
      </c>
      <c r="D34" s="4">
        <v>20326613</v>
      </c>
      <c r="E34" s="3" t="s">
        <v>78</v>
      </c>
      <c r="F34" s="4">
        <v>3</v>
      </c>
      <c r="G34" s="5">
        <v>88</v>
      </c>
      <c r="H34" s="5">
        <f t="shared" si="0"/>
        <v>264</v>
      </c>
    </row>
    <row r="35" customFormat="1" spans="1:8">
      <c r="A35" s="2">
        <v>46151</v>
      </c>
      <c r="B35" s="3">
        <v>1601734</v>
      </c>
      <c r="C35" s="3" t="s">
        <v>150</v>
      </c>
      <c r="D35" s="4">
        <v>20318156</v>
      </c>
      <c r="E35" s="3" t="s">
        <v>112</v>
      </c>
      <c r="F35" s="4">
        <v>1</v>
      </c>
      <c r="G35" s="5">
        <v>154</v>
      </c>
      <c r="H35" s="5">
        <f t="shared" si="0"/>
        <v>154</v>
      </c>
    </row>
    <row r="36" customFormat="1" spans="1:8">
      <c r="A36" s="2">
        <v>46151</v>
      </c>
      <c r="B36" s="3">
        <v>1601734</v>
      </c>
      <c r="C36" s="3" t="s">
        <v>151</v>
      </c>
      <c r="D36" s="4">
        <v>20318231</v>
      </c>
      <c r="E36" s="3" t="s">
        <v>130</v>
      </c>
      <c r="F36" s="4">
        <v>1</v>
      </c>
      <c r="G36" s="5">
        <v>16.5</v>
      </c>
      <c r="H36" s="5">
        <f t="shared" si="0"/>
        <v>16.5</v>
      </c>
    </row>
    <row r="37" customFormat="1" spans="1:8">
      <c r="A37" s="2">
        <v>46151</v>
      </c>
      <c r="B37" s="3">
        <v>1601734</v>
      </c>
      <c r="C37" s="3" t="s">
        <v>153</v>
      </c>
      <c r="D37" s="4">
        <v>20321257</v>
      </c>
      <c r="E37" s="3" t="s">
        <v>68</v>
      </c>
      <c r="F37" s="4">
        <v>1</v>
      </c>
      <c r="G37" s="5">
        <v>16.5</v>
      </c>
      <c r="H37" s="5">
        <f t="shared" si="0"/>
        <v>16.5</v>
      </c>
    </row>
    <row r="38" customFormat="1" spans="1:8">
      <c r="A38" s="2">
        <v>46151</v>
      </c>
      <c r="B38" s="3">
        <v>1601734</v>
      </c>
      <c r="C38" s="3" t="s">
        <v>153</v>
      </c>
      <c r="D38" s="4">
        <v>20329874</v>
      </c>
      <c r="E38" s="3" t="s">
        <v>73</v>
      </c>
      <c r="F38" s="4">
        <v>1</v>
      </c>
      <c r="G38" s="5">
        <v>16.5</v>
      </c>
      <c r="H38" s="5">
        <f t="shared" si="0"/>
        <v>16.5</v>
      </c>
    </row>
    <row r="39" customFormat="1" spans="1:8">
      <c r="A39" s="2">
        <v>46151</v>
      </c>
      <c r="B39" s="3">
        <v>1601734</v>
      </c>
      <c r="C39" s="3" t="s">
        <v>153</v>
      </c>
      <c r="D39" s="4">
        <v>20318262</v>
      </c>
      <c r="E39" s="3" t="s">
        <v>77</v>
      </c>
      <c r="F39" s="4">
        <v>5</v>
      </c>
      <c r="G39" s="5">
        <v>16.5</v>
      </c>
      <c r="H39" s="5">
        <f t="shared" si="0"/>
        <v>82.5</v>
      </c>
    </row>
    <row r="40" customFormat="1" spans="1:8">
      <c r="A40" s="2">
        <v>46151</v>
      </c>
      <c r="B40" s="3">
        <v>1601734</v>
      </c>
      <c r="C40" s="3" t="s">
        <v>153</v>
      </c>
      <c r="D40" s="4">
        <v>20321468</v>
      </c>
      <c r="E40" s="3" t="s">
        <v>89</v>
      </c>
      <c r="F40" s="4">
        <v>3</v>
      </c>
      <c r="G40" s="5">
        <v>16.5</v>
      </c>
      <c r="H40" s="5">
        <f t="shared" si="0"/>
        <v>49.5</v>
      </c>
    </row>
    <row r="41" customFormat="1" spans="1:8">
      <c r="A41" s="2">
        <v>46151</v>
      </c>
      <c r="B41" s="3">
        <v>1601734</v>
      </c>
      <c r="C41" s="3" t="s">
        <v>153</v>
      </c>
      <c r="D41" s="4">
        <v>20318197</v>
      </c>
      <c r="E41" s="3" t="s">
        <v>119</v>
      </c>
      <c r="F41" s="4">
        <v>1</v>
      </c>
      <c r="G41" s="5">
        <v>16.5</v>
      </c>
      <c r="H41" s="5">
        <f t="shared" si="0"/>
        <v>16.5</v>
      </c>
    </row>
    <row r="42" customFormat="1" spans="1:8">
      <c r="A42" s="2">
        <v>46152</v>
      </c>
      <c r="B42" s="3">
        <v>1601863</v>
      </c>
      <c r="C42" s="3" t="s">
        <v>150</v>
      </c>
      <c r="D42" s="4">
        <v>20326613</v>
      </c>
      <c r="E42" s="3" t="s">
        <v>78</v>
      </c>
      <c r="F42" s="4">
        <v>7</v>
      </c>
      <c r="G42" s="5">
        <v>88</v>
      </c>
      <c r="H42" s="5">
        <f t="shared" si="0"/>
        <v>616</v>
      </c>
    </row>
    <row r="43" customFormat="1" spans="1:8">
      <c r="A43" s="2">
        <v>46152</v>
      </c>
      <c r="B43" s="3">
        <v>1601863</v>
      </c>
      <c r="C43" s="3" t="s">
        <v>150</v>
      </c>
      <c r="D43" s="4">
        <v>20318156</v>
      </c>
      <c r="E43" s="3" t="s">
        <v>112</v>
      </c>
      <c r="F43" s="4">
        <v>1</v>
      </c>
      <c r="G43" s="5">
        <v>154</v>
      </c>
      <c r="H43" s="5">
        <f t="shared" si="0"/>
        <v>154</v>
      </c>
    </row>
    <row r="44" customFormat="1" spans="1:8">
      <c r="A44" s="2">
        <v>46152</v>
      </c>
      <c r="B44" s="3">
        <v>1601863</v>
      </c>
      <c r="C44" s="3" t="s">
        <v>150</v>
      </c>
      <c r="D44" s="4">
        <v>20312951</v>
      </c>
      <c r="E44" s="3" t="s">
        <v>121</v>
      </c>
      <c r="F44" s="4">
        <v>1</v>
      </c>
      <c r="G44" s="5">
        <v>165</v>
      </c>
      <c r="H44" s="5">
        <f t="shared" si="0"/>
        <v>165</v>
      </c>
    </row>
    <row r="45" customFormat="1" spans="1:8">
      <c r="A45" s="2">
        <v>46152</v>
      </c>
      <c r="B45" s="3">
        <v>1601874</v>
      </c>
      <c r="C45" s="3" t="s">
        <v>150</v>
      </c>
      <c r="D45" s="4">
        <v>20326613</v>
      </c>
      <c r="E45" s="3" t="s">
        <v>78</v>
      </c>
      <c r="F45" s="4">
        <v>4</v>
      </c>
      <c r="G45" s="5">
        <v>88</v>
      </c>
      <c r="H45" s="5">
        <f t="shared" si="0"/>
        <v>352</v>
      </c>
    </row>
    <row r="46" customFormat="1" spans="1:8">
      <c r="A46" s="2">
        <v>46152</v>
      </c>
      <c r="B46" s="3">
        <v>1601874</v>
      </c>
      <c r="C46" s="3" t="s">
        <v>154</v>
      </c>
      <c r="D46" s="4">
        <v>20328192</v>
      </c>
      <c r="E46" s="3" t="s">
        <v>75</v>
      </c>
      <c r="F46" s="4">
        <v>2</v>
      </c>
      <c r="G46" s="5">
        <v>38.5</v>
      </c>
      <c r="H46" s="5">
        <f t="shared" si="0"/>
        <v>77</v>
      </c>
    </row>
    <row r="47" customFormat="1" spans="1:8">
      <c r="A47" s="2">
        <v>46152</v>
      </c>
      <c r="B47" s="3">
        <v>1601874</v>
      </c>
      <c r="C47" s="3" t="s">
        <v>151</v>
      </c>
      <c r="D47" s="4">
        <v>20421967</v>
      </c>
      <c r="E47" s="3" t="s">
        <v>66</v>
      </c>
      <c r="F47" s="4">
        <v>1</v>
      </c>
      <c r="G47" s="5">
        <v>8</v>
      </c>
      <c r="H47" s="5">
        <f t="shared" si="0"/>
        <v>8</v>
      </c>
    </row>
    <row r="48" customFormat="1" spans="1:8">
      <c r="A48" s="2">
        <v>46152</v>
      </c>
      <c r="B48" s="3">
        <v>1601874</v>
      </c>
      <c r="C48" s="3" t="s">
        <v>151</v>
      </c>
      <c r="D48" s="4">
        <v>20318247</v>
      </c>
      <c r="E48" s="3" t="s">
        <v>69</v>
      </c>
      <c r="F48" s="4">
        <v>1</v>
      </c>
      <c r="G48" s="5">
        <v>8</v>
      </c>
      <c r="H48" s="5">
        <f t="shared" si="0"/>
        <v>8</v>
      </c>
    </row>
    <row r="49" customFormat="1" spans="1:8">
      <c r="A49" s="2">
        <v>46152</v>
      </c>
      <c r="B49" s="3">
        <v>1601874</v>
      </c>
      <c r="C49" s="3" t="s">
        <v>151</v>
      </c>
      <c r="D49" s="4">
        <v>20318235</v>
      </c>
      <c r="E49" s="3" t="s">
        <v>88</v>
      </c>
      <c r="F49" s="4">
        <v>1</v>
      </c>
      <c r="G49" s="5">
        <v>8</v>
      </c>
      <c r="H49" s="5">
        <f t="shared" si="0"/>
        <v>8</v>
      </c>
    </row>
    <row r="50" customFormat="1" spans="1:8">
      <c r="A50" s="2">
        <v>46152</v>
      </c>
      <c r="B50" s="3">
        <v>1601874</v>
      </c>
      <c r="C50" s="3" t="s">
        <v>151</v>
      </c>
      <c r="D50" s="4">
        <v>20329846</v>
      </c>
      <c r="E50" s="3" t="s">
        <v>90</v>
      </c>
      <c r="F50" s="4">
        <v>1</v>
      </c>
      <c r="G50" s="5">
        <v>13.5</v>
      </c>
      <c r="H50" s="5">
        <f t="shared" si="0"/>
        <v>13.5</v>
      </c>
    </row>
    <row r="51" customFormat="1" spans="1:8">
      <c r="A51" s="2">
        <v>46152</v>
      </c>
      <c r="B51" s="3">
        <v>1601874</v>
      </c>
      <c r="C51" s="3" t="s">
        <v>151</v>
      </c>
      <c r="D51" s="4">
        <v>20318166</v>
      </c>
      <c r="E51" s="3" t="s">
        <v>93</v>
      </c>
      <c r="F51" s="4">
        <v>1</v>
      </c>
      <c r="G51" s="5">
        <v>8</v>
      </c>
      <c r="H51" s="5">
        <f t="shared" si="0"/>
        <v>8</v>
      </c>
    </row>
    <row r="52" customFormat="1" spans="1:8">
      <c r="A52" s="2">
        <v>46152</v>
      </c>
      <c r="B52" s="3">
        <v>1601874</v>
      </c>
      <c r="C52" s="3" t="s">
        <v>151</v>
      </c>
      <c r="D52" s="4">
        <v>20331668</v>
      </c>
      <c r="E52" s="3" t="s">
        <v>115</v>
      </c>
      <c r="F52" s="4">
        <v>2</v>
      </c>
      <c r="G52" s="5">
        <v>8</v>
      </c>
      <c r="H52" s="5">
        <f t="shared" si="0"/>
        <v>16</v>
      </c>
    </row>
    <row r="53" customFormat="1" spans="1:8">
      <c r="A53" s="2">
        <v>46152</v>
      </c>
      <c r="B53" s="3">
        <v>1601874</v>
      </c>
      <c r="C53" s="3" t="s">
        <v>151</v>
      </c>
      <c r="D53" s="4">
        <v>20318259</v>
      </c>
      <c r="E53" s="3" t="s">
        <v>122</v>
      </c>
      <c r="F53" s="4">
        <v>1</v>
      </c>
      <c r="G53" s="5">
        <v>22</v>
      </c>
      <c r="H53" s="5">
        <f t="shared" si="0"/>
        <v>22</v>
      </c>
    </row>
    <row r="54" customFormat="1" spans="1:8">
      <c r="A54" s="2">
        <v>46152</v>
      </c>
      <c r="B54" s="3">
        <v>1601874</v>
      </c>
      <c r="C54" s="3" t="s">
        <v>151</v>
      </c>
      <c r="D54" s="4">
        <v>20329847</v>
      </c>
      <c r="E54" s="3" t="s">
        <v>129</v>
      </c>
      <c r="F54" s="4">
        <v>2</v>
      </c>
      <c r="G54" s="5">
        <v>13</v>
      </c>
      <c r="H54" s="5">
        <f t="shared" si="0"/>
        <v>26</v>
      </c>
    </row>
    <row r="55" customFormat="1" spans="1:8">
      <c r="A55" s="2">
        <v>46152</v>
      </c>
      <c r="B55" s="3">
        <v>1601874</v>
      </c>
      <c r="C55" s="3" t="s">
        <v>151</v>
      </c>
      <c r="D55" s="4">
        <v>20318231</v>
      </c>
      <c r="E55" s="3" t="s">
        <v>130</v>
      </c>
      <c r="F55" s="4">
        <v>1</v>
      </c>
      <c r="G55" s="5">
        <v>16.5</v>
      </c>
      <c r="H55" s="5">
        <f t="shared" si="0"/>
        <v>16.5</v>
      </c>
    </row>
    <row r="56" customFormat="1" spans="1:8">
      <c r="A56" s="2">
        <v>46152</v>
      </c>
      <c r="B56" s="3">
        <v>1601874</v>
      </c>
      <c r="C56" s="3" t="s">
        <v>151</v>
      </c>
      <c r="D56" s="4">
        <v>20318254</v>
      </c>
      <c r="E56" s="3" t="s">
        <v>139</v>
      </c>
      <c r="F56" s="4">
        <v>1</v>
      </c>
      <c r="G56" s="5">
        <v>16.5</v>
      </c>
      <c r="H56" s="5">
        <f t="shared" si="0"/>
        <v>16.5</v>
      </c>
    </row>
    <row r="57" customFormat="1" spans="1:8">
      <c r="A57" s="2">
        <v>46152</v>
      </c>
      <c r="B57" s="3">
        <v>1601874</v>
      </c>
      <c r="C57" s="3" t="s">
        <v>152</v>
      </c>
      <c r="D57" s="4">
        <v>20328892</v>
      </c>
      <c r="E57" s="3" t="s">
        <v>107</v>
      </c>
      <c r="F57" s="4">
        <v>1</v>
      </c>
      <c r="G57" s="5">
        <v>88</v>
      </c>
      <c r="H57" s="5">
        <f t="shared" si="0"/>
        <v>88</v>
      </c>
    </row>
    <row r="58" customFormat="1" spans="1:8">
      <c r="A58" s="2">
        <v>46152</v>
      </c>
      <c r="B58" s="3">
        <v>1601874</v>
      </c>
      <c r="C58" s="3" t="s">
        <v>152</v>
      </c>
      <c r="D58" s="4">
        <v>20351811</v>
      </c>
      <c r="E58" s="3" t="s">
        <v>110</v>
      </c>
      <c r="F58" s="4">
        <v>3</v>
      </c>
      <c r="G58" s="5">
        <v>55</v>
      </c>
      <c r="H58" s="5">
        <f t="shared" si="0"/>
        <v>165</v>
      </c>
    </row>
    <row r="59" customFormat="1" spans="1:8">
      <c r="A59" s="2">
        <v>46152</v>
      </c>
      <c r="B59" s="3">
        <v>1601874</v>
      </c>
      <c r="C59" s="3" t="s">
        <v>153</v>
      </c>
      <c r="D59" s="4">
        <v>20321257</v>
      </c>
      <c r="E59" s="3" t="s">
        <v>68</v>
      </c>
      <c r="F59" s="4">
        <v>4</v>
      </c>
      <c r="G59" s="5">
        <v>16.5</v>
      </c>
      <c r="H59" s="5">
        <f t="shared" si="0"/>
        <v>66</v>
      </c>
    </row>
    <row r="60" customFormat="1" spans="1:8">
      <c r="A60" s="2">
        <v>46152</v>
      </c>
      <c r="B60" s="3">
        <v>1601874</v>
      </c>
      <c r="C60" s="3" t="s">
        <v>153</v>
      </c>
      <c r="D60" s="4">
        <v>20318262</v>
      </c>
      <c r="E60" s="3" t="s">
        <v>77</v>
      </c>
      <c r="F60" s="4">
        <v>2</v>
      </c>
      <c r="G60" s="5">
        <v>16.5</v>
      </c>
      <c r="H60" s="5">
        <f t="shared" si="0"/>
        <v>33</v>
      </c>
    </row>
    <row r="61" customFormat="1" spans="1:8">
      <c r="A61" s="2">
        <v>46152</v>
      </c>
      <c r="B61" s="3">
        <v>1601874</v>
      </c>
      <c r="C61" s="3" t="s">
        <v>153</v>
      </c>
      <c r="D61" s="4">
        <v>20318241</v>
      </c>
      <c r="E61" s="3" t="s">
        <v>83</v>
      </c>
      <c r="F61" s="4">
        <v>1</v>
      </c>
      <c r="G61" s="5">
        <v>16.5</v>
      </c>
      <c r="H61" s="5">
        <f t="shared" si="0"/>
        <v>16.5</v>
      </c>
    </row>
    <row r="62" customFormat="1" spans="1:8">
      <c r="A62" s="14">
        <v>46152</v>
      </c>
      <c r="B62" s="15">
        <v>1601874</v>
      </c>
      <c r="C62" s="15" t="s">
        <v>153</v>
      </c>
      <c r="D62" s="16">
        <v>20014827</v>
      </c>
      <c r="E62" s="15" t="s">
        <v>84</v>
      </c>
      <c r="F62" s="16">
        <v>2</v>
      </c>
      <c r="G62" s="17">
        <v>16.5</v>
      </c>
      <c r="H62" s="17">
        <f t="shared" si="0"/>
        <v>33</v>
      </c>
    </row>
    <row r="63" customFormat="1" spans="1:8">
      <c r="A63" s="2">
        <v>46152</v>
      </c>
      <c r="B63" s="3">
        <v>1601874</v>
      </c>
      <c r="C63" s="3" t="s">
        <v>153</v>
      </c>
      <c r="D63" s="4">
        <v>20321468</v>
      </c>
      <c r="E63" s="3" t="s">
        <v>89</v>
      </c>
      <c r="F63" s="4">
        <v>1</v>
      </c>
      <c r="G63" s="5">
        <v>16.5</v>
      </c>
      <c r="H63" s="5">
        <f t="shared" si="0"/>
        <v>16.5</v>
      </c>
    </row>
    <row r="64" customFormat="1" spans="1:8">
      <c r="A64" s="2">
        <v>46152</v>
      </c>
      <c r="B64" s="3">
        <v>1601874</v>
      </c>
      <c r="C64" s="3" t="s">
        <v>153</v>
      </c>
      <c r="D64" s="4">
        <v>20318197</v>
      </c>
      <c r="E64" s="3" t="s">
        <v>119</v>
      </c>
      <c r="F64" s="4">
        <v>6</v>
      </c>
      <c r="G64" s="5">
        <v>16.5</v>
      </c>
      <c r="H64" s="5">
        <f t="shared" si="0"/>
        <v>99</v>
      </c>
    </row>
    <row r="65" customFormat="1" spans="1:8">
      <c r="A65" s="2">
        <v>46152</v>
      </c>
      <c r="B65" s="3">
        <v>1601874</v>
      </c>
      <c r="C65" s="3" t="s">
        <v>153</v>
      </c>
      <c r="D65" s="4">
        <v>20342042</v>
      </c>
      <c r="E65" s="3" t="s">
        <v>131</v>
      </c>
      <c r="F65" s="4">
        <v>1</v>
      </c>
      <c r="G65" s="5">
        <v>16.5</v>
      </c>
      <c r="H65" s="5">
        <f t="shared" si="0"/>
        <v>16.5</v>
      </c>
    </row>
    <row r="66" customFormat="1" spans="1:8">
      <c r="A66" s="2">
        <v>46153</v>
      </c>
      <c r="B66" s="3">
        <v>1601911</v>
      </c>
      <c r="C66" s="3" t="s">
        <v>150</v>
      </c>
      <c r="D66" s="4">
        <v>20326613</v>
      </c>
      <c r="E66" s="3" t="s">
        <v>78</v>
      </c>
      <c r="F66" s="4">
        <v>14</v>
      </c>
      <c r="G66" s="5">
        <v>88</v>
      </c>
      <c r="H66" s="5">
        <f t="shared" ref="H66:H129" si="1">G66*F66</f>
        <v>1232</v>
      </c>
    </row>
    <row r="67" customFormat="1" spans="1:8">
      <c r="A67" s="2">
        <v>46153</v>
      </c>
      <c r="B67" s="3">
        <v>1601911</v>
      </c>
      <c r="C67" s="3" t="s">
        <v>151</v>
      </c>
      <c r="D67" s="4">
        <v>20318257</v>
      </c>
      <c r="E67" s="3" t="s">
        <v>86</v>
      </c>
      <c r="F67" s="4">
        <v>2</v>
      </c>
      <c r="G67" s="5">
        <v>8</v>
      </c>
      <c r="H67" s="5">
        <f t="shared" si="1"/>
        <v>16</v>
      </c>
    </row>
    <row r="68" customFormat="1" spans="1:8">
      <c r="A68" s="2">
        <v>46153</v>
      </c>
      <c r="B68" s="3">
        <v>1601911</v>
      </c>
      <c r="C68" s="3" t="s">
        <v>151</v>
      </c>
      <c r="D68" s="4">
        <v>20318235</v>
      </c>
      <c r="E68" s="3" t="s">
        <v>88</v>
      </c>
      <c r="F68" s="4">
        <v>3</v>
      </c>
      <c r="G68" s="5">
        <v>8</v>
      </c>
      <c r="H68" s="5">
        <f t="shared" si="1"/>
        <v>24</v>
      </c>
    </row>
    <row r="69" customFormat="1" spans="1:8">
      <c r="A69" s="2">
        <v>46153</v>
      </c>
      <c r="B69" s="3">
        <v>1601911</v>
      </c>
      <c r="C69" s="3" t="s">
        <v>151</v>
      </c>
      <c r="D69" s="4">
        <v>20329846</v>
      </c>
      <c r="E69" s="3" t="s">
        <v>90</v>
      </c>
      <c r="F69" s="4">
        <v>4</v>
      </c>
      <c r="G69" s="5">
        <v>13.5</v>
      </c>
      <c r="H69" s="5">
        <f t="shared" si="1"/>
        <v>54</v>
      </c>
    </row>
    <row r="70" customFormat="1" spans="1:8">
      <c r="A70" s="2">
        <v>46153</v>
      </c>
      <c r="B70" s="3">
        <v>1601911</v>
      </c>
      <c r="C70" s="3" t="s">
        <v>151</v>
      </c>
      <c r="D70" s="4">
        <v>20318236</v>
      </c>
      <c r="E70" s="3" t="s">
        <v>91</v>
      </c>
      <c r="F70" s="4">
        <v>3</v>
      </c>
      <c r="G70" s="5">
        <v>11</v>
      </c>
      <c r="H70" s="5">
        <f t="shared" si="1"/>
        <v>33</v>
      </c>
    </row>
    <row r="71" customFormat="1" spans="1:8">
      <c r="A71" s="2">
        <v>46153</v>
      </c>
      <c r="B71" s="3">
        <v>1601911</v>
      </c>
      <c r="C71" s="3" t="s">
        <v>151</v>
      </c>
      <c r="D71" s="4">
        <v>20329843</v>
      </c>
      <c r="E71" s="3" t="s">
        <v>92</v>
      </c>
      <c r="F71" s="4">
        <v>1</v>
      </c>
      <c r="G71" s="5">
        <v>11</v>
      </c>
      <c r="H71" s="5">
        <f t="shared" si="1"/>
        <v>11</v>
      </c>
    </row>
    <row r="72" customFormat="1" spans="1:8">
      <c r="A72" s="2">
        <v>46153</v>
      </c>
      <c r="B72" s="3">
        <v>1601911</v>
      </c>
      <c r="C72" s="3" t="s">
        <v>151</v>
      </c>
      <c r="D72" s="4">
        <v>20351064</v>
      </c>
      <c r="E72" s="3" t="s">
        <v>99</v>
      </c>
      <c r="F72" s="4">
        <v>3</v>
      </c>
      <c r="G72" s="5">
        <v>13.5</v>
      </c>
      <c r="H72" s="5">
        <f t="shared" si="1"/>
        <v>40.5</v>
      </c>
    </row>
    <row r="73" customFormat="1" spans="1:8">
      <c r="A73" s="2">
        <v>46153</v>
      </c>
      <c r="B73" s="3">
        <v>1601911</v>
      </c>
      <c r="C73" s="3" t="s">
        <v>151</v>
      </c>
      <c r="D73" s="4">
        <v>20329847</v>
      </c>
      <c r="E73" s="3" t="s">
        <v>129</v>
      </c>
      <c r="F73" s="4">
        <v>5</v>
      </c>
      <c r="G73" s="5">
        <v>13</v>
      </c>
      <c r="H73" s="5">
        <f t="shared" si="1"/>
        <v>65</v>
      </c>
    </row>
    <row r="74" customFormat="1" spans="1:8">
      <c r="A74" s="2">
        <v>46153</v>
      </c>
      <c r="B74" s="3">
        <v>1601911</v>
      </c>
      <c r="C74" s="3" t="s">
        <v>151</v>
      </c>
      <c r="D74" s="4">
        <v>20318254</v>
      </c>
      <c r="E74" s="3" t="s">
        <v>139</v>
      </c>
      <c r="F74" s="4">
        <v>1</v>
      </c>
      <c r="G74" s="5">
        <v>16.5</v>
      </c>
      <c r="H74" s="5">
        <f t="shared" si="1"/>
        <v>16.5</v>
      </c>
    </row>
    <row r="75" customFormat="1" spans="1:8">
      <c r="A75" s="2">
        <v>46153</v>
      </c>
      <c r="B75" s="3">
        <v>1601911</v>
      </c>
      <c r="C75" s="3" t="s">
        <v>151</v>
      </c>
      <c r="D75" s="4">
        <v>20331472</v>
      </c>
      <c r="E75" s="3" t="s">
        <v>141</v>
      </c>
      <c r="F75" s="4">
        <v>2</v>
      </c>
      <c r="G75" s="5">
        <v>8</v>
      </c>
      <c r="H75" s="5">
        <f t="shared" si="1"/>
        <v>16</v>
      </c>
    </row>
    <row r="76" customFormat="1" spans="1:8">
      <c r="A76" s="2">
        <v>46153</v>
      </c>
      <c r="B76" s="3">
        <v>1601911</v>
      </c>
      <c r="C76" s="3" t="s">
        <v>153</v>
      </c>
      <c r="D76" s="4">
        <v>20321257</v>
      </c>
      <c r="E76" s="3" t="s">
        <v>68</v>
      </c>
      <c r="F76" s="4">
        <v>3</v>
      </c>
      <c r="G76" s="5">
        <v>16.5</v>
      </c>
      <c r="H76" s="5">
        <f t="shared" si="1"/>
        <v>49.5</v>
      </c>
    </row>
    <row r="77" customFormat="1" spans="1:8">
      <c r="A77" s="14">
        <v>46153</v>
      </c>
      <c r="B77" s="15">
        <v>1601911</v>
      </c>
      <c r="C77" s="15" t="s">
        <v>153</v>
      </c>
      <c r="D77" s="16">
        <v>20318229</v>
      </c>
      <c r="E77" s="15" t="s">
        <v>76</v>
      </c>
      <c r="F77" s="16">
        <v>3</v>
      </c>
      <c r="G77" s="17">
        <v>16.5</v>
      </c>
      <c r="H77" s="17">
        <f t="shared" si="1"/>
        <v>49.5</v>
      </c>
    </row>
    <row r="78" customFormat="1" spans="1:8">
      <c r="A78" s="2">
        <v>46153</v>
      </c>
      <c r="B78" s="3">
        <v>1601911</v>
      </c>
      <c r="C78" s="3" t="s">
        <v>153</v>
      </c>
      <c r="D78" s="4">
        <v>20318262</v>
      </c>
      <c r="E78" s="3" t="s">
        <v>77</v>
      </c>
      <c r="F78" s="4">
        <v>5</v>
      </c>
      <c r="G78" s="5">
        <v>16.5</v>
      </c>
      <c r="H78" s="5">
        <f t="shared" si="1"/>
        <v>82.5</v>
      </c>
    </row>
    <row r="79" customFormat="1" spans="1:8">
      <c r="A79" s="2">
        <v>46153</v>
      </c>
      <c r="B79" s="3">
        <v>1601911</v>
      </c>
      <c r="C79" s="3" t="s">
        <v>153</v>
      </c>
      <c r="D79" s="4">
        <v>20342042</v>
      </c>
      <c r="E79" s="3" t="s">
        <v>131</v>
      </c>
      <c r="F79" s="4">
        <v>2</v>
      </c>
      <c r="G79" s="5">
        <v>16.5</v>
      </c>
      <c r="H79" s="5">
        <f t="shared" si="1"/>
        <v>33</v>
      </c>
    </row>
    <row r="80" customFormat="1" spans="1:8">
      <c r="A80" s="2">
        <v>46153</v>
      </c>
      <c r="B80" s="3">
        <v>1602078</v>
      </c>
      <c r="C80" s="3" t="s">
        <v>150</v>
      </c>
      <c r="D80" s="4">
        <v>20328374</v>
      </c>
      <c r="E80" s="3" t="s">
        <v>72</v>
      </c>
      <c r="F80" s="4">
        <v>1</v>
      </c>
      <c r="G80" s="5">
        <v>264</v>
      </c>
      <c r="H80" s="5">
        <f t="shared" si="1"/>
        <v>264</v>
      </c>
    </row>
    <row r="81" customFormat="1" spans="1:8">
      <c r="A81" s="2">
        <v>46153</v>
      </c>
      <c r="B81" s="3">
        <v>1602078</v>
      </c>
      <c r="C81" s="3" t="s">
        <v>150</v>
      </c>
      <c r="D81" s="4">
        <v>20326613</v>
      </c>
      <c r="E81" s="3" t="s">
        <v>78</v>
      </c>
      <c r="F81" s="4">
        <v>9</v>
      </c>
      <c r="G81" s="5">
        <v>88</v>
      </c>
      <c r="H81" s="5">
        <f t="shared" si="1"/>
        <v>792</v>
      </c>
    </row>
    <row r="82" customFormat="1" spans="1:8">
      <c r="A82" s="2">
        <v>46153</v>
      </c>
      <c r="B82" s="3">
        <v>1602078</v>
      </c>
      <c r="C82" s="3" t="s">
        <v>150</v>
      </c>
      <c r="D82" s="4">
        <v>20377845</v>
      </c>
      <c r="E82" s="3" t="s">
        <v>106</v>
      </c>
      <c r="F82" s="4">
        <v>1</v>
      </c>
      <c r="G82" s="5">
        <v>66</v>
      </c>
      <c r="H82" s="5">
        <f t="shared" si="1"/>
        <v>66</v>
      </c>
    </row>
    <row r="83" customFormat="1" spans="1:8">
      <c r="A83" s="2">
        <v>46153</v>
      </c>
      <c r="B83" s="3">
        <v>1602078</v>
      </c>
      <c r="C83" s="3" t="s">
        <v>150</v>
      </c>
      <c r="D83" s="4">
        <v>20411130</v>
      </c>
      <c r="E83" s="3" t="s">
        <v>124</v>
      </c>
      <c r="F83" s="4">
        <v>1</v>
      </c>
      <c r="G83" s="5">
        <v>16.5</v>
      </c>
      <c r="H83" s="5">
        <f t="shared" si="1"/>
        <v>16.5</v>
      </c>
    </row>
    <row r="84" customFormat="1" spans="1:8">
      <c r="A84" s="2">
        <v>46153</v>
      </c>
      <c r="B84" s="3">
        <v>1602078</v>
      </c>
      <c r="C84" s="3" t="s">
        <v>150</v>
      </c>
      <c r="D84" s="4">
        <v>20411133</v>
      </c>
      <c r="E84" s="3" t="s">
        <v>126</v>
      </c>
      <c r="F84" s="4">
        <v>1</v>
      </c>
      <c r="G84" s="5">
        <v>16.5</v>
      </c>
      <c r="H84" s="5">
        <f t="shared" si="1"/>
        <v>16.5</v>
      </c>
    </row>
    <row r="85" customFormat="1" spans="1:8">
      <c r="A85" s="2">
        <v>46153</v>
      </c>
      <c r="B85" s="3">
        <v>1602078</v>
      </c>
      <c r="C85" s="3" t="s">
        <v>151</v>
      </c>
      <c r="D85" s="4">
        <v>20318257</v>
      </c>
      <c r="E85" s="3" t="s">
        <v>86</v>
      </c>
      <c r="F85" s="4">
        <v>1</v>
      </c>
      <c r="G85" s="5">
        <v>8</v>
      </c>
      <c r="H85" s="5">
        <f t="shared" si="1"/>
        <v>8</v>
      </c>
    </row>
    <row r="86" customFormat="1" spans="1:8">
      <c r="A86" s="2">
        <v>46153</v>
      </c>
      <c r="B86" s="3">
        <v>1602078</v>
      </c>
      <c r="C86" s="3" t="s">
        <v>151</v>
      </c>
      <c r="D86" s="4">
        <v>20318235</v>
      </c>
      <c r="E86" s="3" t="s">
        <v>88</v>
      </c>
      <c r="F86" s="4">
        <v>2</v>
      </c>
      <c r="G86" s="5">
        <v>8</v>
      </c>
      <c r="H86" s="5">
        <f t="shared" si="1"/>
        <v>16</v>
      </c>
    </row>
    <row r="87" customFormat="1" spans="1:8">
      <c r="A87" s="2">
        <v>46153</v>
      </c>
      <c r="B87" s="3">
        <v>1602078</v>
      </c>
      <c r="C87" s="3" t="s">
        <v>151</v>
      </c>
      <c r="D87" s="4">
        <v>20329846</v>
      </c>
      <c r="E87" s="3" t="s">
        <v>90</v>
      </c>
      <c r="F87" s="4">
        <v>1</v>
      </c>
      <c r="G87" s="5">
        <v>13.5</v>
      </c>
      <c r="H87" s="5">
        <f t="shared" si="1"/>
        <v>13.5</v>
      </c>
    </row>
    <row r="88" customFormat="1" spans="1:8">
      <c r="A88" s="2">
        <v>46153</v>
      </c>
      <c r="B88" s="3">
        <v>1602078</v>
      </c>
      <c r="C88" s="3" t="s">
        <v>151</v>
      </c>
      <c r="D88" s="4">
        <v>20333778</v>
      </c>
      <c r="E88" s="3" t="s">
        <v>116</v>
      </c>
      <c r="F88" s="4">
        <v>2</v>
      </c>
      <c r="G88" s="5">
        <v>16.5</v>
      </c>
      <c r="H88" s="5">
        <f t="shared" si="1"/>
        <v>33</v>
      </c>
    </row>
    <row r="89" customFormat="1" spans="1:8">
      <c r="A89" s="2">
        <v>46153</v>
      </c>
      <c r="B89" s="3">
        <v>1602078</v>
      </c>
      <c r="C89" s="3" t="s">
        <v>151</v>
      </c>
      <c r="D89" s="4">
        <v>20329847</v>
      </c>
      <c r="E89" s="3" t="s">
        <v>129</v>
      </c>
      <c r="F89" s="4">
        <v>2</v>
      </c>
      <c r="G89" s="5">
        <v>13</v>
      </c>
      <c r="H89" s="5">
        <f t="shared" si="1"/>
        <v>26</v>
      </c>
    </row>
    <row r="90" customFormat="1" spans="1:8">
      <c r="A90" s="2">
        <v>46153</v>
      </c>
      <c r="B90" s="3">
        <v>1602078</v>
      </c>
      <c r="C90" s="3" t="s">
        <v>151</v>
      </c>
      <c r="D90" s="4">
        <v>20367697</v>
      </c>
      <c r="E90" s="3" t="s">
        <v>133</v>
      </c>
      <c r="F90" s="4">
        <v>2</v>
      </c>
      <c r="G90" s="5">
        <v>16.5</v>
      </c>
      <c r="H90" s="5">
        <f t="shared" si="1"/>
        <v>33</v>
      </c>
    </row>
    <row r="91" customFormat="1" spans="1:8">
      <c r="A91" s="2">
        <v>46153</v>
      </c>
      <c r="B91" s="3">
        <v>1602078</v>
      </c>
      <c r="C91" s="3" t="s">
        <v>155</v>
      </c>
      <c r="D91" s="4">
        <v>20322228</v>
      </c>
      <c r="E91" s="3" t="s">
        <v>74</v>
      </c>
      <c r="F91" s="4">
        <v>1</v>
      </c>
      <c r="G91" s="5">
        <v>15</v>
      </c>
      <c r="H91" s="5">
        <f t="shared" si="1"/>
        <v>15</v>
      </c>
    </row>
    <row r="92" customFormat="1" spans="1:8">
      <c r="A92" s="2">
        <v>46153</v>
      </c>
      <c r="B92" s="3">
        <v>1602078</v>
      </c>
      <c r="C92" s="3" t="s">
        <v>152</v>
      </c>
      <c r="D92" s="4">
        <v>20328892</v>
      </c>
      <c r="E92" s="3" t="s">
        <v>107</v>
      </c>
      <c r="F92" s="4">
        <v>1</v>
      </c>
      <c r="G92" s="5">
        <v>88</v>
      </c>
      <c r="H92" s="5">
        <f t="shared" si="1"/>
        <v>88</v>
      </c>
    </row>
    <row r="93" customFormat="1" spans="1:8">
      <c r="A93" s="2">
        <v>46153</v>
      </c>
      <c r="B93" s="3">
        <v>1602078</v>
      </c>
      <c r="C93" s="3" t="s">
        <v>153</v>
      </c>
      <c r="D93" s="4">
        <v>20321257</v>
      </c>
      <c r="E93" s="3" t="s">
        <v>68</v>
      </c>
      <c r="F93" s="4">
        <v>3</v>
      </c>
      <c r="G93" s="5">
        <v>16.5</v>
      </c>
      <c r="H93" s="5">
        <f t="shared" si="1"/>
        <v>49.5</v>
      </c>
    </row>
    <row r="94" customFormat="1" spans="1:8">
      <c r="A94" s="2">
        <v>46153</v>
      </c>
      <c r="B94" s="3">
        <v>1602078</v>
      </c>
      <c r="C94" s="3" t="s">
        <v>153</v>
      </c>
      <c r="D94" s="4">
        <v>20318262</v>
      </c>
      <c r="E94" s="3" t="s">
        <v>77</v>
      </c>
      <c r="F94" s="4">
        <v>3</v>
      </c>
      <c r="G94" s="5">
        <v>16.5</v>
      </c>
      <c r="H94" s="5">
        <f t="shared" si="1"/>
        <v>49.5</v>
      </c>
    </row>
    <row r="95" customFormat="1" spans="1:8">
      <c r="A95" s="2">
        <v>46153</v>
      </c>
      <c r="B95" s="3">
        <v>1602078</v>
      </c>
      <c r="C95" s="3" t="s">
        <v>153</v>
      </c>
      <c r="D95" s="4">
        <v>20321468</v>
      </c>
      <c r="E95" s="3" t="s">
        <v>89</v>
      </c>
      <c r="F95" s="4">
        <v>2</v>
      </c>
      <c r="G95" s="5">
        <v>16.5</v>
      </c>
      <c r="H95" s="5">
        <f t="shared" si="1"/>
        <v>33</v>
      </c>
    </row>
    <row r="96" customFormat="1" spans="1:8">
      <c r="A96" s="2">
        <v>46153</v>
      </c>
      <c r="B96" s="3">
        <v>1602089</v>
      </c>
      <c r="C96" s="3" t="s">
        <v>150</v>
      </c>
      <c r="D96" s="4">
        <v>20326613</v>
      </c>
      <c r="E96" s="3" t="s">
        <v>78</v>
      </c>
      <c r="F96" s="4">
        <v>1</v>
      </c>
      <c r="G96" s="5">
        <v>88</v>
      </c>
      <c r="H96" s="5">
        <f t="shared" si="1"/>
        <v>88</v>
      </c>
    </row>
    <row r="97" customFormat="1" spans="1:8">
      <c r="A97" s="2">
        <v>46153</v>
      </c>
      <c r="B97" s="3">
        <v>1602089</v>
      </c>
      <c r="C97" s="3" t="s">
        <v>154</v>
      </c>
      <c r="D97" s="4">
        <v>20328192</v>
      </c>
      <c r="E97" s="3" t="s">
        <v>75</v>
      </c>
      <c r="F97" s="4">
        <v>1</v>
      </c>
      <c r="G97" s="5">
        <v>38.5</v>
      </c>
      <c r="H97" s="5">
        <f t="shared" si="1"/>
        <v>38.5</v>
      </c>
    </row>
    <row r="98" customFormat="1" spans="1:8">
      <c r="A98" s="2">
        <v>46153</v>
      </c>
      <c r="B98" s="3">
        <v>1602089</v>
      </c>
      <c r="C98" s="3" t="s">
        <v>152</v>
      </c>
      <c r="D98" s="4">
        <v>20351811</v>
      </c>
      <c r="E98" s="3" t="s">
        <v>110</v>
      </c>
      <c r="F98" s="4">
        <v>1</v>
      </c>
      <c r="G98" s="5">
        <v>55</v>
      </c>
      <c r="H98" s="5">
        <f t="shared" si="1"/>
        <v>55</v>
      </c>
    </row>
    <row r="99" customFormat="1" spans="1:8">
      <c r="A99" s="2">
        <v>46153</v>
      </c>
      <c r="B99" s="3">
        <v>1602089</v>
      </c>
      <c r="C99" s="3" t="s">
        <v>153</v>
      </c>
      <c r="D99" s="4">
        <v>20321257</v>
      </c>
      <c r="E99" s="3" t="s">
        <v>68</v>
      </c>
      <c r="F99" s="4">
        <v>2</v>
      </c>
      <c r="G99" s="5">
        <v>16.5</v>
      </c>
      <c r="H99" s="5">
        <f t="shared" si="1"/>
        <v>33</v>
      </c>
    </row>
    <row r="100" customFormat="1" spans="1:8">
      <c r="A100" s="2">
        <v>46153</v>
      </c>
      <c r="B100" s="3">
        <v>1602089</v>
      </c>
      <c r="C100" s="3" t="s">
        <v>153</v>
      </c>
      <c r="D100" s="4">
        <v>20318379</v>
      </c>
      <c r="E100" s="3" t="s">
        <v>127</v>
      </c>
      <c r="F100" s="4">
        <v>1</v>
      </c>
      <c r="G100" s="5">
        <v>16.5</v>
      </c>
      <c r="H100" s="5">
        <f t="shared" si="1"/>
        <v>16.5</v>
      </c>
    </row>
    <row r="101" customFormat="1" spans="1:8">
      <c r="A101" s="2">
        <v>46154</v>
      </c>
      <c r="B101" s="3">
        <v>1602343</v>
      </c>
      <c r="C101" s="3" t="s">
        <v>150</v>
      </c>
      <c r="D101" s="4">
        <v>20326613</v>
      </c>
      <c r="E101" s="3" t="s">
        <v>78</v>
      </c>
      <c r="F101" s="4">
        <v>14</v>
      </c>
      <c r="G101" s="5">
        <v>88</v>
      </c>
      <c r="H101" s="5">
        <f t="shared" si="1"/>
        <v>1232</v>
      </c>
    </row>
    <row r="102" customFormat="1" spans="1:8">
      <c r="A102" s="2">
        <v>46154</v>
      </c>
      <c r="B102" s="3">
        <v>1602343</v>
      </c>
      <c r="C102" s="3" t="s">
        <v>150</v>
      </c>
      <c r="D102" s="4">
        <v>20318156</v>
      </c>
      <c r="E102" s="3" t="s">
        <v>112</v>
      </c>
      <c r="F102" s="4">
        <v>1</v>
      </c>
      <c r="G102" s="5">
        <v>154</v>
      </c>
      <c r="H102" s="5">
        <f t="shared" si="1"/>
        <v>154</v>
      </c>
    </row>
    <row r="103" customFormat="1" spans="1:8">
      <c r="A103" s="2">
        <v>46154</v>
      </c>
      <c r="B103" s="3">
        <v>1602343</v>
      </c>
      <c r="C103" s="3" t="s">
        <v>151</v>
      </c>
      <c r="D103" s="4">
        <v>20329846</v>
      </c>
      <c r="E103" s="3" t="s">
        <v>90</v>
      </c>
      <c r="F103" s="4">
        <v>2</v>
      </c>
      <c r="G103" s="5">
        <v>13.5</v>
      </c>
      <c r="H103" s="5">
        <f t="shared" si="1"/>
        <v>27</v>
      </c>
    </row>
    <row r="104" customFormat="1" spans="1:8">
      <c r="A104" s="2">
        <v>46154</v>
      </c>
      <c r="B104" s="3">
        <v>1602343</v>
      </c>
      <c r="C104" s="3" t="s">
        <v>151</v>
      </c>
      <c r="D104" s="4">
        <v>20351064</v>
      </c>
      <c r="E104" s="3" t="s">
        <v>99</v>
      </c>
      <c r="F104" s="4">
        <v>2</v>
      </c>
      <c r="G104" s="5">
        <v>13.5</v>
      </c>
      <c r="H104" s="5">
        <f t="shared" si="1"/>
        <v>27</v>
      </c>
    </row>
    <row r="105" customFormat="1" spans="1:8">
      <c r="A105" s="2">
        <v>46154</v>
      </c>
      <c r="B105" s="3">
        <v>1602343</v>
      </c>
      <c r="C105" s="3" t="s">
        <v>151</v>
      </c>
      <c r="D105" s="4">
        <v>20329847</v>
      </c>
      <c r="E105" s="3" t="s">
        <v>129</v>
      </c>
      <c r="F105" s="4">
        <v>2</v>
      </c>
      <c r="G105" s="5">
        <v>13</v>
      </c>
      <c r="H105" s="5">
        <f t="shared" si="1"/>
        <v>26</v>
      </c>
    </row>
    <row r="106" customFormat="1" spans="1:8">
      <c r="A106" s="2">
        <v>46154</v>
      </c>
      <c r="B106" s="3">
        <v>1602343</v>
      </c>
      <c r="C106" s="3" t="s">
        <v>153</v>
      </c>
      <c r="D106" s="4">
        <v>20321257</v>
      </c>
      <c r="E106" s="3" t="s">
        <v>68</v>
      </c>
      <c r="F106" s="4">
        <v>3</v>
      </c>
      <c r="G106" s="5">
        <v>16.5</v>
      </c>
      <c r="H106" s="5">
        <f t="shared" si="1"/>
        <v>49.5</v>
      </c>
    </row>
    <row r="107" customFormat="1" spans="1:8">
      <c r="A107" s="14">
        <v>46154</v>
      </c>
      <c r="B107" s="15">
        <v>1602343</v>
      </c>
      <c r="C107" s="15" t="s">
        <v>153</v>
      </c>
      <c r="D107" s="16">
        <v>20318229</v>
      </c>
      <c r="E107" s="15" t="s">
        <v>76</v>
      </c>
      <c r="F107" s="16">
        <v>1</v>
      </c>
      <c r="G107" s="17">
        <v>16.5</v>
      </c>
      <c r="H107" s="17">
        <f t="shared" si="1"/>
        <v>16.5</v>
      </c>
    </row>
    <row r="108" customFormat="1" spans="1:8">
      <c r="A108" s="2">
        <v>46154</v>
      </c>
      <c r="B108" s="3">
        <v>1602343</v>
      </c>
      <c r="C108" s="3" t="s">
        <v>153</v>
      </c>
      <c r="D108" s="4">
        <v>20318262</v>
      </c>
      <c r="E108" s="3" t="s">
        <v>77</v>
      </c>
      <c r="F108" s="4">
        <v>2</v>
      </c>
      <c r="G108" s="5">
        <v>16.5</v>
      </c>
      <c r="H108" s="5">
        <f t="shared" si="1"/>
        <v>33</v>
      </c>
    </row>
    <row r="109" customFormat="1" spans="1:8">
      <c r="A109" s="2">
        <v>46154</v>
      </c>
      <c r="B109" s="3">
        <v>1602343</v>
      </c>
      <c r="C109" s="3" t="s">
        <v>153</v>
      </c>
      <c r="D109" s="4">
        <v>20321688</v>
      </c>
      <c r="E109" s="3" t="s">
        <v>87</v>
      </c>
      <c r="F109" s="4">
        <v>2</v>
      </c>
      <c r="G109" s="5">
        <v>16.5</v>
      </c>
      <c r="H109" s="5">
        <f t="shared" si="1"/>
        <v>33</v>
      </c>
    </row>
    <row r="110" customFormat="1" spans="1:8">
      <c r="A110" s="2">
        <v>46154</v>
      </c>
      <c r="B110" s="3">
        <v>1602343</v>
      </c>
      <c r="C110" s="3" t="s">
        <v>153</v>
      </c>
      <c r="D110" s="4">
        <v>20318197</v>
      </c>
      <c r="E110" s="3" t="s">
        <v>119</v>
      </c>
      <c r="F110" s="4">
        <v>7</v>
      </c>
      <c r="G110" s="5">
        <v>16.5</v>
      </c>
      <c r="H110" s="5">
        <f t="shared" si="1"/>
        <v>115.5</v>
      </c>
    </row>
    <row r="111" customFormat="1" spans="1:8">
      <c r="A111" s="2">
        <v>46154</v>
      </c>
      <c r="B111" s="3">
        <v>1602433</v>
      </c>
      <c r="C111" s="3" t="s">
        <v>150</v>
      </c>
      <c r="D111" s="4">
        <v>20326613</v>
      </c>
      <c r="E111" s="3" t="s">
        <v>78</v>
      </c>
      <c r="F111" s="4">
        <v>3</v>
      </c>
      <c r="G111" s="5">
        <v>88</v>
      </c>
      <c r="H111" s="5">
        <f t="shared" si="1"/>
        <v>264</v>
      </c>
    </row>
    <row r="112" customFormat="1" spans="1:8">
      <c r="A112" s="2">
        <v>46154</v>
      </c>
      <c r="B112" s="3">
        <v>1602433</v>
      </c>
      <c r="C112" s="3" t="s">
        <v>150</v>
      </c>
      <c r="D112" s="4">
        <v>20318094</v>
      </c>
      <c r="E112" s="3" t="s">
        <v>102</v>
      </c>
      <c r="F112" s="4">
        <v>1</v>
      </c>
      <c r="G112" s="5">
        <v>148.5</v>
      </c>
      <c r="H112" s="5">
        <f t="shared" si="1"/>
        <v>148.5</v>
      </c>
    </row>
    <row r="113" customFormat="1" spans="1:8">
      <c r="A113" s="2">
        <v>46154</v>
      </c>
      <c r="B113" s="3">
        <v>1602433</v>
      </c>
      <c r="C113" s="3" t="s">
        <v>150</v>
      </c>
      <c r="D113" s="4">
        <v>20312951</v>
      </c>
      <c r="E113" s="3" t="s">
        <v>121</v>
      </c>
      <c r="F113" s="4">
        <v>1</v>
      </c>
      <c r="G113" s="5">
        <v>165</v>
      </c>
      <c r="H113" s="5">
        <f t="shared" si="1"/>
        <v>165</v>
      </c>
    </row>
    <row r="114" customFormat="1" spans="1:8">
      <c r="A114" s="2">
        <v>46154</v>
      </c>
      <c r="B114" s="3">
        <v>1602433</v>
      </c>
      <c r="C114" s="3" t="s">
        <v>151</v>
      </c>
      <c r="D114" s="4">
        <v>20320789</v>
      </c>
      <c r="E114" s="3" t="s">
        <v>82</v>
      </c>
      <c r="F114" s="4">
        <v>1</v>
      </c>
      <c r="G114" s="5">
        <v>8</v>
      </c>
      <c r="H114" s="5">
        <f t="shared" si="1"/>
        <v>8</v>
      </c>
    </row>
    <row r="115" customFormat="1" spans="1:8">
      <c r="A115" s="2">
        <v>46154</v>
      </c>
      <c r="B115" s="3">
        <v>1602433</v>
      </c>
      <c r="C115" s="3" t="s">
        <v>151</v>
      </c>
      <c r="D115" s="4">
        <v>20329846</v>
      </c>
      <c r="E115" s="3" t="s">
        <v>90</v>
      </c>
      <c r="F115" s="4">
        <v>1</v>
      </c>
      <c r="G115" s="5">
        <v>13.5</v>
      </c>
      <c r="H115" s="5">
        <f t="shared" si="1"/>
        <v>13.5</v>
      </c>
    </row>
    <row r="116" customFormat="1" spans="1:8">
      <c r="A116" s="2">
        <v>46154</v>
      </c>
      <c r="B116" s="3">
        <v>1602433</v>
      </c>
      <c r="C116" s="3" t="s">
        <v>151</v>
      </c>
      <c r="D116" s="4">
        <v>20318166</v>
      </c>
      <c r="E116" s="3" t="s">
        <v>93</v>
      </c>
      <c r="F116" s="4">
        <v>1</v>
      </c>
      <c r="G116" s="5">
        <v>8</v>
      </c>
      <c r="H116" s="5">
        <f t="shared" si="1"/>
        <v>8</v>
      </c>
    </row>
    <row r="117" customFormat="1" spans="1:8">
      <c r="A117" s="2">
        <v>46154</v>
      </c>
      <c r="B117" s="3">
        <v>1602433</v>
      </c>
      <c r="C117" s="3" t="s">
        <v>151</v>
      </c>
      <c r="D117" s="4">
        <v>20329845</v>
      </c>
      <c r="E117" s="3" t="s">
        <v>94</v>
      </c>
      <c r="F117" s="4">
        <v>1</v>
      </c>
      <c r="G117" s="5">
        <v>8</v>
      </c>
      <c r="H117" s="5">
        <f t="shared" si="1"/>
        <v>8</v>
      </c>
    </row>
    <row r="118" customFormat="1" spans="1:8">
      <c r="A118" s="2">
        <v>46154</v>
      </c>
      <c r="B118" s="3">
        <v>1602433</v>
      </c>
      <c r="C118" s="3" t="s">
        <v>151</v>
      </c>
      <c r="D118" s="4">
        <v>20329847</v>
      </c>
      <c r="E118" s="3" t="s">
        <v>129</v>
      </c>
      <c r="F118" s="4">
        <v>1</v>
      </c>
      <c r="G118" s="5">
        <v>13</v>
      </c>
      <c r="H118" s="5">
        <f t="shared" si="1"/>
        <v>13</v>
      </c>
    </row>
    <row r="119" customFormat="1" spans="1:8">
      <c r="A119" s="2">
        <v>46154</v>
      </c>
      <c r="B119" s="3">
        <v>1602433</v>
      </c>
      <c r="C119" s="3" t="s">
        <v>155</v>
      </c>
      <c r="D119" s="4">
        <v>20322228</v>
      </c>
      <c r="E119" s="3" t="s">
        <v>74</v>
      </c>
      <c r="F119" s="4">
        <v>1</v>
      </c>
      <c r="G119" s="5">
        <v>15</v>
      </c>
      <c r="H119" s="5">
        <f t="shared" si="1"/>
        <v>15</v>
      </c>
    </row>
    <row r="120" customFormat="1" spans="1:8">
      <c r="A120" s="2">
        <v>46154</v>
      </c>
      <c r="B120" s="3">
        <v>1602433</v>
      </c>
      <c r="C120" s="3" t="s">
        <v>152</v>
      </c>
      <c r="D120" s="4">
        <v>20394933</v>
      </c>
      <c r="E120" s="3" t="s">
        <v>105</v>
      </c>
      <c r="F120" s="4">
        <v>2</v>
      </c>
      <c r="G120" s="5">
        <v>66</v>
      </c>
      <c r="H120" s="5">
        <f t="shared" si="1"/>
        <v>132</v>
      </c>
    </row>
    <row r="121" customFormat="1" spans="1:8">
      <c r="A121" s="2">
        <v>46154</v>
      </c>
      <c r="B121" s="3">
        <v>1602433</v>
      </c>
      <c r="C121" s="3" t="s">
        <v>153</v>
      </c>
      <c r="D121" s="4">
        <v>20321257</v>
      </c>
      <c r="E121" s="3" t="s">
        <v>68</v>
      </c>
      <c r="F121" s="4">
        <v>2</v>
      </c>
      <c r="G121" s="5">
        <v>16.5</v>
      </c>
      <c r="H121" s="5">
        <f t="shared" si="1"/>
        <v>33</v>
      </c>
    </row>
    <row r="122" customFormat="1" spans="1:8">
      <c r="A122" s="2">
        <v>46154</v>
      </c>
      <c r="B122" s="3">
        <v>1602433</v>
      </c>
      <c r="C122" s="3" t="s">
        <v>153</v>
      </c>
      <c r="D122" s="4">
        <v>20318262</v>
      </c>
      <c r="E122" s="3" t="s">
        <v>77</v>
      </c>
      <c r="F122" s="4">
        <v>3</v>
      </c>
      <c r="G122" s="5">
        <v>16.5</v>
      </c>
      <c r="H122" s="5">
        <f t="shared" si="1"/>
        <v>49.5</v>
      </c>
    </row>
    <row r="123" customFormat="1" spans="1:8">
      <c r="A123" s="14">
        <v>46154</v>
      </c>
      <c r="B123" s="15">
        <v>1602433</v>
      </c>
      <c r="C123" s="15" t="s">
        <v>153</v>
      </c>
      <c r="D123" s="16">
        <v>20014827</v>
      </c>
      <c r="E123" s="15" t="s">
        <v>84</v>
      </c>
      <c r="F123" s="16">
        <v>1</v>
      </c>
      <c r="G123" s="17">
        <v>16.5</v>
      </c>
      <c r="H123" s="17">
        <f t="shared" si="1"/>
        <v>16.5</v>
      </c>
    </row>
    <row r="124" customFormat="1" spans="1:8">
      <c r="A124" s="2">
        <v>46154</v>
      </c>
      <c r="B124" s="3">
        <v>1602433</v>
      </c>
      <c r="C124" s="3" t="s">
        <v>153</v>
      </c>
      <c r="D124" s="4">
        <v>20342042</v>
      </c>
      <c r="E124" s="3" t="s">
        <v>131</v>
      </c>
      <c r="F124" s="4">
        <v>1</v>
      </c>
      <c r="G124" s="5">
        <v>16.5</v>
      </c>
      <c r="H124" s="5">
        <f t="shared" si="1"/>
        <v>16.5</v>
      </c>
    </row>
    <row r="125" customFormat="1" spans="1:8">
      <c r="A125" s="2">
        <v>46154</v>
      </c>
      <c r="B125" s="3">
        <v>1602460</v>
      </c>
      <c r="C125" s="3" t="s">
        <v>151</v>
      </c>
      <c r="D125" s="4">
        <v>20329847</v>
      </c>
      <c r="E125" s="3" t="s">
        <v>129</v>
      </c>
      <c r="F125" s="4">
        <v>2</v>
      </c>
      <c r="G125" s="5">
        <v>13</v>
      </c>
      <c r="H125" s="5">
        <f t="shared" si="1"/>
        <v>26</v>
      </c>
    </row>
    <row r="126" customFormat="1" spans="1:8">
      <c r="A126" s="2">
        <v>46154</v>
      </c>
      <c r="B126" s="3">
        <v>1602460</v>
      </c>
      <c r="C126" s="3" t="s">
        <v>151</v>
      </c>
      <c r="D126" s="4">
        <v>20333142</v>
      </c>
      <c r="E126" s="3" t="s">
        <v>138</v>
      </c>
      <c r="F126" s="4">
        <v>1</v>
      </c>
      <c r="G126" s="5">
        <v>22</v>
      </c>
      <c r="H126" s="5">
        <f t="shared" si="1"/>
        <v>22</v>
      </c>
    </row>
    <row r="127" customFormat="1" spans="1:8">
      <c r="A127" s="2">
        <v>46154</v>
      </c>
      <c r="B127" s="3">
        <v>1602460</v>
      </c>
      <c r="C127" s="3" t="s">
        <v>152</v>
      </c>
      <c r="D127" s="4">
        <v>20351811</v>
      </c>
      <c r="E127" s="3" t="s">
        <v>110</v>
      </c>
      <c r="F127" s="4">
        <v>1</v>
      </c>
      <c r="G127" s="5">
        <v>55</v>
      </c>
      <c r="H127" s="5">
        <f t="shared" si="1"/>
        <v>55</v>
      </c>
    </row>
    <row r="128" customFormat="1" spans="1:8">
      <c r="A128" s="2">
        <v>46154</v>
      </c>
      <c r="B128" s="3">
        <v>1602460</v>
      </c>
      <c r="C128" s="3" t="s">
        <v>153</v>
      </c>
      <c r="D128" s="4">
        <v>20321257</v>
      </c>
      <c r="E128" s="3" t="s">
        <v>68</v>
      </c>
      <c r="F128" s="4">
        <v>1</v>
      </c>
      <c r="G128" s="5">
        <v>16.5</v>
      </c>
      <c r="H128" s="5">
        <f t="shared" si="1"/>
        <v>16.5</v>
      </c>
    </row>
    <row r="129" customFormat="1" spans="1:8">
      <c r="A129" s="2">
        <v>46154</v>
      </c>
      <c r="B129" s="3">
        <v>1602460</v>
      </c>
      <c r="C129" s="3" t="s">
        <v>153</v>
      </c>
      <c r="D129" s="4">
        <v>20329844</v>
      </c>
      <c r="E129" s="3" t="s">
        <v>70</v>
      </c>
      <c r="F129" s="4">
        <v>2</v>
      </c>
      <c r="G129" s="5">
        <v>16.5</v>
      </c>
      <c r="H129" s="5">
        <f t="shared" si="1"/>
        <v>33</v>
      </c>
    </row>
    <row r="130" customFormat="1" spans="1:8">
      <c r="A130" s="2">
        <v>46154</v>
      </c>
      <c r="B130" s="3">
        <v>1602460</v>
      </c>
      <c r="C130" s="3" t="s">
        <v>153</v>
      </c>
      <c r="D130" s="4">
        <v>20329874</v>
      </c>
      <c r="E130" s="3" t="s">
        <v>73</v>
      </c>
      <c r="F130" s="4">
        <v>1</v>
      </c>
      <c r="G130" s="5">
        <v>16.5</v>
      </c>
      <c r="H130" s="5">
        <f t="shared" ref="H130:H193" si="2">G130*F130</f>
        <v>16.5</v>
      </c>
    </row>
    <row r="131" customFormat="1" spans="1:8">
      <c r="A131" s="2">
        <v>46154</v>
      </c>
      <c r="B131" s="3">
        <v>1602460</v>
      </c>
      <c r="C131" s="3" t="s">
        <v>153</v>
      </c>
      <c r="D131" s="4">
        <v>20318241</v>
      </c>
      <c r="E131" s="3" t="s">
        <v>83</v>
      </c>
      <c r="F131" s="4">
        <v>1</v>
      </c>
      <c r="G131" s="5">
        <v>16.5</v>
      </c>
      <c r="H131" s="5">
        <f t="shared" si="2"/>
        <v>16.5</v>
      </c>
    </row>
    <row r="132" customFormat="1" spans="1:8">
      <c r="A132" s="2">
        <v>46154</v>
      </c>
      <c r="B132" s="3">
        <v>1602460</v>
      </c>
      <c r="C132" s="3" t="s">
        <v>153</v>
      </c>
      <c r="D132" s="4">
        <v>20321468</v>
      </c>
      <c r="E132" s="3" t="s">
        <v>89</v>
      </c>
      <c r="F132" s="4">
        <v>1</v>
      </c>
      <c r="G132" s="5">
        <v>16.5</v>
      </c>
      <c r="H132" s="5">
        <f t="shared" si="2"/>
        <v>16.5</v>
      </c>
    </row>
    <row r="133" customFormat="1" spans="1:8">
      <c r="A133" s="2">
        <v>46154</v>
      </c>
      <c r="B133" s="3">
        <v>1602484</v>
      </c>
      <c r="C133" s="3" t="s">
        <v>150</v>
      </c>
      <c r="D133" s="4">
        <v>20326613</v>
      </c>
      <c r="E133" s="3" t="s">
        <v>78</v>
      </c>
      <c r="F133" s="4">
        <v>5</v>
      </c>
      <c r="G133" s="5">
        <v>88</v>
      </c>
      <c r="H133" s="5">
        <f t="shared" si="2"/>
        <v>440</v>
      </c>
    </row>
    <row r="134" customFormat="1" spans="1:8">
      <c r="A134" s="2">
        <v>46154</v>
      </c>
      <c r="B134" s="3">
        <v>1602484</v>
      </c>
      <c r="C134" s="3" t="s">
        <v>150</v>
      </c>
      <c r="D134" s="4">
        <v>20318156</v>
      </c>
      <c r="E134" s="3" t="s">
        <v>112</v>
      </c>
      <c r="F134" s="4">
        <v>1</v>
      </c>
      <c r="G134" s="5">
        <v>154</v>
      </c>
      <c r="H134" s="5">
        <f t="shared" si="2"/>
        <v>154</v>
      </c>
    </row>
    <row r="135" customFormat="1" spans="1:8">
      <c r="A135" s="2">
        <v>46154</v>
      </c>
      <c r="B135" s="3">
        <v>1602484</v>
      </c>
      <c r="C135" s="3" t="s">
        <v>154</v>
      </c>
      <c r="D135" s="4">
        <v>20328192</v>
      </c>
      <c r="E135" s="3" t="s">
        <v>75</v>
      </c>
      <c r="F135" s="4">
        <v>1</v>
      </c>
      <c r="G135" s="5">
        <v>38.5</v>
      </c>
      <c r="H135" s="5">
        <f t="shared" si="2"/>
        <v>38.5</v>
      </c>
    </row>
    <row r="136" customFormat="1" spans="1:8">
      <c r="A136" s="2">
        <v>46154</v>
      </c>
      <c r="B136" s="3">
        <v>1602484</v>
      </c>
      <c r="C136" s="3" t="s">
        <v>153</v>
      </c>
      <c r="D136" s="4">
        <v>20318262</v>
      </c>
      <c r="E136" s="3" t="s">
        <v>77</v>
      </c>
      <c r="F136" s="4">
        <v>3</v>
      </c>
      <c r="G136" s="5">
        <v>16.5</v>
      </c>
      <c r="H136" s="5">
        <f t="shared" si="2"/>
        <v>49.5</v>
      </c>
    </row>
    <row r="137" customFormat="1" spans="1:8">
      <c r="A137" s="2">
        <v>46155</v>
      </c>
      <c r="B137" s="3">
        <v>1602647</v>
      </c>
      <c r="C137" s="3" t="s">
        <v>150</v>
      </c>
      <c r="D137" s="4">
        <v>20326613</v>
      </c>
      <c r="E137" s="3" t="s">
        <v>78</v>
      </c>
      <c r="F137" s="4">
        <v>18</v>
      </c>
      <c r="G137" s="5">
        <v>88</v>
      </c>
      <c r="H137" s="5">
        <f t="shared" si="2"/>
        <v>1584</v>
      </c>
    </row>
    <row r="138" customFormat="1" spans="1:8">
      <c r="A138" s="2">
        <v>46155</v>
      </c>
      <c r="B138" s="3">
        <v>1602647</v>
      </c>
      <c r="C138" s="3" t="s">
        <v>154</v>
      </c>
      <c r="D138" s="4">
        <v>20328192</v>
      </c>
      <c r="E138" s="3" t="s">
        <v>75</v>
      </c>
      <c r="F138" s="4">
        <v>1</v>
      </c>
      <c r="G138" s="5">
        <v>38.5</v>
      </c>
      <c r="H138" s="5">
        <f t="shared" si="2"/>
        <v>38.5</v>
      </c>
    </row>
    <row r="139" customFormat="1" spans="1:8">
      <c r="A139" s="2">
        <v>46155</v>
      </c>
      <c r="B139" s="3">
        <v>1602647</v>
      </c>
      <c r="C139" s="3" t="s">
        <v>151</v>
      </c>
      <c r="D139" s="4">
        <v>20318257</v>
      </c>
      <c r="E139" s="3" t="s">
        <v>86</v>
      </c>
      <c r="F139" s="4">
        <v>1</v>
      </c>
      <c r="G139" s="5">
        <v>8</v>
      </c>
      <c r="H139" s="5">
        <f t="shared" si="2"/>
        <v>8</v>
      </c>
    </row>
    <row r="140" customFormat="1" spans="1:8">
      <c r="A140" s="2">
        <v>46155</v>
      </c>
      <c r="B140" s="3">
        <v>1602647</v>
      </c>
      <c r="C140" s="3" t="s">
        <v>151</v>
      </c>
      <c r="D140" s="4">
        <v>20329846</v>
      </c>
      <c r="E140" s="3" t="s">
        <v>90</v>
      </c>
      <c r="F140" s="4">
        <v>1</v>
      </c>
      <c r="G140" s="5">
        <v>13.5</v>
      </c>
      <c r="H140" s="5">
        <f t="shared" si="2"/>
        <v>13.5</v>
      </c>
    </row>
    <row r="141" customFormat="1" spans="1:8">
      <c r="A141" s="2">
        <v>46155</v>
      </c>
      <c r="B141" s="3">
        <v>1602647</v>
      </c>
      <c r="C141" s="3" t="s">
        <v>151</v>
      </c>
      <c r="D141" s="4">
        <v>20351064</v>
      </c>
      <c r="E141" s="3" t="s">
        <v>99</v>
      </c>
      <c r="F141" s="4">
        <v>2</v>
      </c>
      <c r="G141" s="5">
        <v>13.5</v>
      </c>
      <c r="H141" s="5">
        <f t="shared" si="2"/>
        <v>27</v>
      </c>
    </row>
    <row r="142" customFormat="1" spans="1:8">
      <c r="A142" s="2">
        <v>46155</v>
      </c>
      <c r="B142" s="3">
        <v>1602647</v>
      </c>
      <c r="C142" s="3" t="s">
        <v>151</v>
      </c>
      <c r="D142" s="4">
        <v>20318243</v>
      </c>
      <c r="E142" s="3" t="s">
        <v>114</v>
      </c>
      <c r="F142" s="4">
        <v>1</v>
      </c>
      <c r="G142" s="5">
        <v>8</v>
      </c>
      <c r="H142" s="5">
        <f t="shared" si="2"/>
        <v>8</v>
      </c>
    </row>
    <row r="143" customFormat="1" spans="1:8">
      <c r="A143" s="2">
        <v>46155</v>
      </c>
      <c r="B143" s="3">
        <v>1602647</v>
      </c>
      <c r="C143" s="3" t="s">
        <v>151</v>
      </c>
      <c r="D143" s="4">
        <v>20329847</v>
      </c>
      <c r="E143" s="3" t="s">
        <v>129</v>
      </c>
      <c r="F143" s="4">
        <v>6</v>
      </c>
      <c r="G143" s="5">
        <v>13</v>
      </c>
      <c r="H143" s="5">
        <f t="shared" si="2"/>
        <v>78</v>
      </c>
    </row>
    <row r="144" customFormat="1" spans="1:8">
      <c r="A144" s="2">
        <v>46155</v>
      </c>
      <c r="B144" s="3">
        <v>1602647</v>
      </c>
      <c r="C144" s="3" t="s">
        <v>151</v>
      </c>
      <c r="D144" s="4">
        <v>20321810</v>
      </c>
      <c r="E144" s="3" t="s">
        <v>137</v>
      </c>
      <c r="F144" s="4">
        <v>20</v>
      </c>
      <c r="G144" s="5">
        <v>8</v>
      </c>
      <c r="H144" s="5">
        <f t="shared" si="2"/>
        <v>160</v>
      </c>
    </row>
    <row r="145" customFormat="1" spans="1:8">
      <c r="A145" s="2">
        <v>46155</v>
      </c>
      <c r="B145" s="3">
        <v>1602647</v>
      </c>
      <c r="C145" s="3" t="s">
        <v>153</v>
      </c>
      <c r="D145" s="4">
        <v>20321257</v>
      </c>
      <c r="E145" s="3" t="s">
        <v>68</v>
      </c>
      <c r="F145" s="4">
        <v>4</v>
      </c>
      <c r="G145" s="5">
        <v>16.5</v>
      </c>
      <c r="H145" s="5">
        <f t="shared" si="2"/>
        <v>66</v>
      </c>
    </row>
    <row r="146" customFormat="1" spans="1:8">
      <c r="A146" s="14">
        <v>46155</v>
      </c>
      <c r="B146" s="15">
        <v>1602647</v>
      </c>
      <c r="C146" s="15" t="s">
        <v>153</v>
      </c>
      <c r="D146" s="16">
        <v>20318229</v>
      </c>
      <c r="E146" s="15" t="s">
        <v>76</v>
      </c>
      <c r="F146" s="16">
        <v>2</v>
      </c>
      <c r="G146" s="17">
        <v>16.5</v>
      </c>
      <c r="H146" s="17">
        <f t="shared" si="2"/>
        <v>33</v>
      </c>
    </row>
    <row r="147" customFormat="1" spans="1:8">
      <c r="A147" s="2">
        <v>46155</v>
      </c>
      <c r="B147" s="3">
        <v>1602647</v>
      </c>
      <c r="C147" s="3" t="s">
        <v>153</v>
      </c>
      <c r="D147" s="4">
        <v>20318262</v>
      </c>
      <c r="E147" s="3" t="s">
        <v>77</v>
      </c>
      <c r="F147" s="4">
        <v>1</v>
      </c>
      <c r="G147" s="5">
        <v>16.5</v>
      </c>
      <c r="H147" s="5">
        <f t="shared" si="2"/>
        <v>16.5</v>
      </c>
    </row>
    <row r="148" customFormat="1" spans="1:8">
      <c r="A148" s="2">
        <v>46155</v>
      </c>
      <c r="B148" s="3">
        <v>1602647</v>
      </c>
      <c r="C148" s="3" t="s">
        <v>153</v>
      </c>
      <c r="D148" s="4">
        <v>20318375</v>
      </c>
      <c r="E148" s="3" t="s">
        <v>81</v>
      </c>
      <c r="F148" s="4">
        <v>1</v>
      </c>
      <c r="G148" s="5">
        <v>16.5</v>
      </c>
      <c r="H148" s="5">
        <f t="shared" si="2"/>
        <v>16.5</v>
      </c>
    </row>
    <row r="149" customFormat="1" spans="1:8">
      <c r="A149" s="14">
        <v>46155</v>
      </c>
      <c r="B149" s="15">
        <v>1602647</v>
      </c>
      <c r="C149" s="15" t="s">
        <v>153</v>
      </c>
      <c r="D149" s="16">
        <v>20014827</v>
      </c>
      <c r="E149" s="15" t="s">
        <v>84</v>
      </c>
      <c r="F149" s="16">
        <v>1</v>
      </c>
      <c r="G149" s="17">
        <v>16.5</v>
      </c>
      <c r="H149" s="17">
        <f t="shared" si="2"/>
        <v>16.5</v>
      </c>
    </row>
    <row r="150" customFormat="1" spans="1:8">
      <c r="A150" s="2">
        <v>46155</v>
      </c>
      <c r="B150" s="3">
        <v>1602647</v>
      </c>
      <c r="C150" s="3" t="s">
        <v>153</v>
      </c>
      <c r="D150" s="4">
        <v>20321468</v>
      </c>
      <c r="E150" s="3" t="s">
        <v>89</v>
      </c>
      <c r="F150" s="4">
        <v>1</v>
      </c>
      <c r="G150" s="5">
        <v>16.5</v>
      </c>
      <c r="H150" s="5">
        <f t="shared" si="2"/>
        <v>16.5</v>
      </c>
    </row>
    <row r="151" customFormat="1" spans="1:8">
      <c r="A151" s="2">
        <v>46155</v>
      </c>
      <c r="B151" s="3">
        <v>1602647</v>
      </c>
      <c r="C151" s="3" t="s">
        <v>153</v>
      </c>
      <c r="D151" s="4">
        <v>20342042</v>
      </c>
      <c r="E151" s="3" t="s">
        <v>131</v>
      </c>
      <c r="F151" s="4">
        <v>2</v>
      </c>
      <c r="G151" s="5">
        <v>16.5</v>
      </c>
      <c r="H151" s="5">
        <f t="shared" si="2"/>
        <v>33</v>
      </c>
    </row>
    <row r="152" customFormat="1" spans="1:8">
      <c r="A152" s="2">
        <v>46155</v>
      </c>
      <c r="B152" s="3">
        <v>1602750</v>
      </c>
      <c r="C152" s="3" t="s">
        <v>150</v>
      </c>
      <c r="D152" s="4">
        <v>20326613</v>
      </c>
      <c r="E152" s="3" t="s">
        <v>78</v>
      </c>
      <c r="F152" s="4">
        <v>5</v>
      </c>
      <c r="G152" s="5">
        <v>88</v>
      </c>
      <c r="H152" s="5">
        <f t="shared" si="2"/>
        <v>440</v>
      </c>
    </row>
    <row r="153" customFormat="1" spans="1:8">
      <c r="A153" s="2">
        <v>46155</v>
      </c>
      <c r="B153" s="3">
        <v>1602750</v>
      </c>
      <c r="C153" s="3" t="s">
        <v>150</v>
      </c>
      <c r="D153" s="4">
        <v>20377845</v>
      </c>
      <c r="E153" s="3" t="s">
        <v>106</v>
      </c>
      <c r="F153" s="4">
        <v>1</v>
      </c>
      <c r="G153" s="5">
        <v>66</v>
      </c>
      <c r="H153" s="5">
        <f t="shared" si="2"/>
        <v>66</v>
      </c>
    </row>
    <row r="154" customFormat="1" spans="1:8">
      <c r="A154" s="2">
        <v>46155</v>
      </c>
      <c r="B154" s="3">
        <v>1602750</v>
      </c>
      <c r="C154" s="3" t="s">
        <v>150</v>
      </c>
      <c r="D154" s="4">
        <v>20312951</v>
      </c>
      <c r="E154" s="3" t="s">
        <v>121</v>
      </c>
      <c r="F154" s="4">
        <v>1</v>
      </c>
      <c r="G154" s="5">
        <v>165</v>
      </c>
      <c r="H154" s="5">
        <f t="shared" si="2"/>
        <v>165</v>
      </c>
    </row>
    <row r="155" customFormat="1" spans="1:8">
      <c r="A155" s="2">
        <v>46155</v>
      </c>
      <c r="B155" s="3">
        <v>1602750</v>
      </c>
      <c r="C155" s="3" t="s">
        <v>151</v>
      </c>
      <c r="D155" s="4">
        <v>20318247</v>
      </c>
      <c r="E155" s="3" t="s">
        <v>69</v>
      </c>
      <c r="F155" s="4">
        <v>1</v>
      </c>
      <c r="G155" s="5">
        <v>8</v>
      </c>
      <c r="H155" s="5">
        <f t="shared" si="2"/>
        <v>8</v>
      </c>
    </row>
    <row r="156" customFormat="1" spans="1:8">
      <c r="A156" s="2">
        <v>46155</v>
      </c>
      <c r="B156" s="3">
        <v>1602750</v>
      </c>
      <c r="C156" s="3" t="s">
        <v>151</v>
      </c>
      <c r="D156" s="4">
        <v>20318257</v>
      </c>
      <c r="E156" s="3" t="s">
        <v>86</v>
      </c>
      <c r="F156" s="4">
        <v>2</v>
      </c>
      <c r="G156" s="5">
        <v>8</v>
      </c>
      <c r="H156" s="5">
        <f t="shared" si="2"/>
        <v>16</v>
      </c>
    </row>
    <row r="157" customFormat="1" spans="1:8">
      <c r="A157" s="2">
        <v>46155</v>
      </c>
      <c r="B157" s="3">
        <v>1602750</v>
      </c>
      <c r="C157" s="3" t="s">
        <v>151</v>
      </c>
      <c r="D157" s="4">
        <v>20318235</v>
      </c>
      <c r="E157" s="3" t="s">
        <v>88</v>
      </c>
      <c r="F157" s="4">
        <v>1</v>
      </c>
      <c r="G157" s="5">
        <v>8</v>
      </c>
      <c r="H157" s="5">
        <f t="shared" si="2"/>
        <v>8</v>
      </c>
    </row>
    <row r="158" customFormat="1" spans="1:8">
      <c r="A158" s="2">
        <v>46155</v>
      </c>
      <c r="B158" s="3">
        <v>1602750</v>
      </c>
      <c r="C158" s="3" t="s">
        <v>151</v>
      </c>
      <c r="D158" s="4">
        <v>20329846</v>
      </c>
      <c r="E158" s="3" t="s">
        <v>90</v>
      </c>
      <c r="F158" s="4">
        <v>2</v>
      </c>
      <c r="G158" s="5">
        <v>13.5</v>
      </c>
      <c r="H158" s="5">
        <f t="shared" si="2"/>
        <v>27</v>
      </c>
    </row>
    <row r="159" customFormat="1" spans="1:8">
      <c r="A159" s="2">
        <v>46155</v>
      </c>
      <c r="B159" s="3">
        <v>1602750</v>
      </c>
      <c r="C159" s="3" t="s">
        <v>151</v>
      </c>
      <c r="D159" s="4">
        <v>20318236</v>
      </c>
      <c r="E159" s="3" t="s">
        <v>91</v>
      </c>
      <c r="F159" s="4">
        <v>1</v>
      </c>
      <c r="G159" s="5">
        <v>11</v>
      </c>
      <c r="H159" s="5">
        <f t="shared" si="2"/>
        <v>11</v>
      </c>
    </row>
    <row r="160" customFormat="1" spans="1:8">
      <c r="A160" s="2">
        <v>46155</v>
      </c>
      <c r="B160" s="3">
        <v>1602750</v>
      </c>
      <c r="C160" s="3" t="s">
        <v>151</v>
      </c>
      <c r="D160" s="4">
        <v>20318166</v>
      </c>
      <c r="E160" s="3" t="s">
        <v>93</v>
      </c>
      <c r="F160" s="4">
        <v>1</v>
      </c>
      <c r="G160" s="5">
        <v>8</v>
      </c>
      <c r="H160" s="5">
        <f t="shared" si="2"/>
        <v>8</v>
      </c>
    </row>
    <row r="161" customFormat="1" spans="1:8">
      <c r="A161" s="2">
        <v>46155</v>
      </c>
      <c r="B161" s="3">
        <v>1602750</v>
      </c>
      <c r="C161" s="3" t="s">
        <v>151</v>
      </c>
      <c r="D161" s="4">
        <v>20329981</v>
      </c>
      <c r="E161" s="3" t="s">
        <v>95</v>
      </c>
      <c r="F161" s="4">
        <v>1</v>
      </c>
      <c r="G161" s="5">
        <v>8</v>
      </c>
      <c r="H161" s="5">
        <f t="shared" si="2"/>
        <v>8</v>
      </c>
    </row>
    <row r="162" customFormat="1" spans="1:8">
      <c r="A162" s="2">
        <v>46155</v>
      </c>
      <c r="B162" s="3">
        <v>1602750</v>
      </c>
      <c r="C162" s="3" t="s">
        <v>151</v>
      </c>
      <c r="D162" s="4">
        <v>20329847</v>
      </c>
      <c r="E162" s="3" t="s">
        <v>129</v>
      </c>
      <c r="F162" s="4">
        <v>1</v>
      </c>
      <c r="G162" s="5">
        <v>13</v>
      </c>
      <c r="H162" s="5">
        <f t="shared" si="2"/>
        <v>13</v>
      </c>
    </row>
    <row r="163" customFormat="1" spans="1:8">
      <c r="A163" s="2">
        <v>46155</v>
      </c>
      <c r="B163" s="3">
        <v>1602750</v>
      </c>
      <c r="C163" s="3" t="s">
        <v>151</v>
      </c>
      <c r="D163" s="4">
        <v>20318231</v>
      </c>
      <c r="E163" s="3" t="s">
        <v>130</v>
      </c>
      <c r="F163" s="4">
        <v>1</v>
      </c>
      <c r="G163" s="5">
        <v>16.5</v>
      </c>
      <c r="H163" s="5">
        <f t="shared" si="2"/>
        <v>16.5</v>
      </c>
    </row>
    <row r="164" customFormat="1" spans="1:8">
      <c r="A164" s="2">
        <v>46155</v>
      </c>
      <c r="B164" s="3">
        <v>1602750</v>
      </c>
      <c r="C164" s="3" t="s">
        <v>151</v>
      </c>
      <c r="D164" s="4">
        <v>20333142</v>
      </c>
      <c r="E164" s="3" t="s">
        <v>138</v>
      </c>
      <c r="F164" s="4">
        <v>1</v>
      </c>
      <c r="G164" s="5">
        <v>22</v>
      </c>
      <c r="H164" s="5">
        <f t="shared" si="2"/>
        <v>22</v>
      </c>
    </row>
    <row r="165" customFormat="1" spans="1:8">
      <c r="A165" s="2">
        <v>46155</v>
      </c>
      <c r="B165" s="3">
        <v>1602750</v>
      </c>
      <c r="C165" s="3" t="s">
        <v>151</v>
      </c>
      <c r="D165" s="4">
        <v>20331472</v>
      </c>
      <c r="E165" s="3" t="s">
        <v>141</v>
      </c>
      <c r="F165" s="4">
        <v>1</v>
      </c>
      <c r="G165" s="5">
        <v>8</v>
      </c>
      <c r="H165" s="5">
        <f t="shared" si="2"/>
        <v>8</v>
      </c>
    </row>
    <row r="166" customFormat="1" spans="1:8">
      <c r="A166" s="2">
        <v>46155</v>
      </c>
      <c r="B166" s="3">
        <v>1602750</v>
      </c>
      <c r="C166" s="3" t="s">
        <v>155</v>
      </c>
      <c r="D166" s="4">
        <v>20322228</v>
      </c>
      <c r="E166" s="3" t="s">
        <v>74</v>
      </c>
      <c r="F166" s="4">
        <v>1</v>
      </c>
      <c r="G166" s="5">
        <v>15</v>
      </c>
      <c r="H166" s="5">
        <f t="shared" si="2"/>
        <v>15</v>
      </c>
    </row>
    <row r="167" customFormat="1" spans="1:8">
      <c r="A167" s="2">
        <v>46155</v>
      </c>
      <c r="B167" s="3">
        <v>1602750</v>
      </c>
      <c r="C167" s="3" t="s">
        <v>152</v>
      </c>
      <c r="D167" s="4">
        <v>20419565</v>
      </c>
      <c r="E167" s="3" t="s">
        <v>103</v>
      </c>
      <c r="F167" s="4">
        <v>1</v>
      </c>
      <c r="G167" s="5">
        <v>66</v>
      </c>
      <c r="H167" s="5">
        <f t="shared" si="2"/>
        <v>66</v>
      </c>
    </row>
    <row r="168" customFormat="1" spans="1:8">
      <c r="A168" s="2">
        <v>46155</v>
      </c>
      <c r="B168" s="3">
        <v>1602750</v>
      </c>
      <c r="C168" s="3" t="s">
        <v>152</v>
      </c>
      <c r="D168" s="4">
        <v>20394933</v>
      </c>
      <c r="E168" s="3" t="s">
        <v>105</v>
      </c>
      <c r="F168" s="4">
        <v>2</v>
      </c>
      <c r="G168" s="5">
        <v>66</v>
      </c>
      <c r="H168" s="5">
        <f t="shared" si="2"/>
        <v>132</v>
      </c>
    </row>
    <row r="169" customFormat="1" spans="1:8">
      <c r="A169" s="2">
        <v>46155</v>
      </c>
      <c r="B169" s="3">
        <v>1602750</v>
      </c>
      <c r="C169" s="3" t="s">
        <v>152</v>
      </c>
      <c r="D169" s="4">
        <v>20328892</v>
      </c>
      <c r="E169" s="3" t="s">
        <v>107</v>
      </c>
      <c r="F169" s="4">
        <v>1</v>
      </c>
      <c r="G169" s="5">
        <v>88</v>
      </c>
      <c r="H169" s="5">
        <f t="shared" si="2"/>
        <v>88</v>
      </c>
    </row>
    <row r="170" customFormat="1" spans="1:8">
      <c r="A170" s="2">
        <v>46155</v>
      </c>
      <c r="B170" s="3">
        <v>1602750</v>
      </c>
      <c r="C170" s="3" t="s">
        <v>153</v>
      </c>
      <c r="D170" s="4">
        <v>20321257</v>
      </c>
      <c r="E170" s="3" t="s">
        <v>68</v>
      </c>
      <c r="F170" s="4">
        <v>1</v>
      </c>
      <c r="G170" s="5">
        <v>16.5</v>
      </c>
      <c r="H170" s="5">
        <f t="shared" si="2"/>
        <v>16.5</v>
      </c>
    </row>
    <row r="171" customFormat="1" spans="1:8">
      <c r="A171" s="2">
        <v>46155</v>
      </c>
      <c r="B171" s="3">
        <v>1602750</v>
      </c>
      <c r="C171" s="3" t="s">
        <v>153</v>
      </c>
      <c r="D171" s="4">
        <v>20318262</v>
      </c>
      <c r="E171" s="3" t="s">
        <v>77</v>
      </c>
      <c r="F171" s="4">
        <v>1</v>
      </c>
      <c r="G171" s="5">
        <v>16.5</v>
      </c>
      <c r="H171" s="5">
        <f t="shared" si="2"/>
        <v>16.5</v>
      </c>
    </row>
    <row r="172" customFormat="1" spans="1:8">
      <c r="A172" s="14">
        <v>46155</v>
      </c>
      <c r="B172" s="15">
        <v>1602750</v>
      </c>
      <c r="C172" s="15" t="s">
        <v>153</v>
      </c>
      <c r="D172" s="16">
        <v>20014827</v>
      </c>
      <c r="E172" s="15" t="s">
        <v>84</v>
      </c>
      <c r="F172" s="16">
        <v>1</v>
      </c>
      <c r="G172" s="17">
        <v>16.5</v>
      </c>
      <c r="H172" s="17">
        <f t="shared" si="2"/>
        <v>16.5</v>
      </c>
    </row>
    <row r="173" customFormat="1" spans="1:8">
      <c r="A173" s="2">
        <v>46155</v>
      </c>
      <c r="B173" s="3">
        <v>1602750</v>
      </c>
      <c r="C173" s="3" t="s">
        <v>153</v>
      </c>
      <c r="D173" s="4">
        <v>20321468</v>
      </c>
      <c r="E173" s="3" t="s">
        <v>89</v>
      </c>
      <c r="F173" s="4">
        <v>1</v>
      </c>
      <c r="G173" s="5">
        <v>16.5</v>
      </c>
      <c r="H173" s="5">
        <f t="shared" si="2"/>
        <v>16.5</v>
      </c>
    </row>
    <row r="174" customFormat="1" spans="1:8">
      <c r="A174" s="2">
        <v>46155</v>
      </c>
      <c r="B174" s="3">
        <v>1602750</v>
      </c>
      <c r="C174" s="3" t="s">
        <v>153</v>
      </c>
      <c r="D174" s="4">
        <v>20318197</v>
      </c>
      <c r="E174" s="3" t="s">
        <v>119</v>
      </c>
      <c r="F174" s="4">
        <v>1</v>
      </c>
      <c r="G174" s="5">
        <v>16.5</v>
      </c>
      <c r="H174" s="5">
        <f t="shared" si="2"/>
        <v>16.5</v>
      </c>
    </row>
    <row r="175" customFormat="1" spans="1:8">
      <c r="A175" s="2">
        <v>46155</v>
      </c>
      <c r="B175" s="3">
        <v>1602750</v>
      </c>
      <c r="C175" s="3" t="s">
        <v>153</v>
      </c>
      <c r="D175" s="4">
        <v>20342042</v>
      </c>
      <c r="E175" s="3" t="s">
        <v>131</v>
      </c>
      <c r="F175" s="4">
        <v>1</v>
      </c>
      <c r="G175" s="5">
        <v>16.5</v>
      </c>
      <c r="H175" s="5">
        <f t="shared" si="2"/>
        <v>16.5</v>
      </c>
    </row>
    <row r="176" customFormat="1" spans="1:8">
      <c r="A176" s="2">
        <v>46155</v>
      </c>
      <c r="B176" s="3">
        <v>1602800</v>
      </c>
      <c r="C176" s="3" t="s">
        <v>150</v>
      </c>
      <c r="D176" s="4">
        <v>20326613</v>
      </c>
      <c r="E176" s="3" t="s">
        <v>78</v>
      </c>
      <c r="F176" s="4">
        <v>6</v>
      </c>
      <c r="G176" s="5">
        <v>88</v>
      </c>
      <c r="H176" s="5">
        <f t="shared" si="2"/>
        <v>528</v>
      </c>
    </row>
    <row r="177" customFormat="1" spans="1:8">
      <c r="A177" s="2">
        <v>46155</v>
      </c>
      <c r="B177" s="3">
        <v>1602800</v>
      </c>
      <c r="C177" s="3" t="s">
        <v>150</v>
      </c>
      <c r="D177" s="4">
        <v>20411130</v>
      </c>
      <c r="E177" s="3" t="s">
        <v>124</v>
      </c>
      <c r="F177" s="4">
        <v>1</v>
      </c>
      <c r="G177" s="5">
        <v>16.5</v>
      </c>
      <c r="H177" s="5">
        <f t="shared" si="2"/>
        <v>16.5</v>
      </c>
    </row>
    <row r="178" customFormat="1" spans="1:8">
      <c r="A178" s="2">
        <v>46155</v>
      </c>
      <c r="B178" s="3">
        <v>1602800</v>
      </c>
      <c r="C178" s="3" t="s">
        <v>150</v>
      </c>
      <c r="D178" s="4">
        <v>20411133</v>
      </c>
      <c r="E178" s="3" t="s">
        <v>126</v>
      </c>
      <c r="F178" s="4">
        <v>1</v>
      </c>
      <c r="G178" s="5">
        <v>16.5</v>
      </c>
      <c r="H178" s="5">
        <f t="shared" si="2"/>
        <v>16.5</v>
      </c>
    </row>
    <row r="179" customFormat="1" spans="1:8">
      <c r="A179" s="2">
        <v>46155</v>
      </c>
      <c r="B179" s="3">
        <v>1602800</v>
      </c>
      <c r="C179" s="3" t="s">
        <v>154</v>
      </c>
      <c r="D179" s="4">
        <v>20328192</v>
      </c>
      <c r="E179" s="3" t="s">
        <v>75</v>
      </c>
      <c r="F179" s="4">
        <v>2</v>
      </c>
      <c r="G179" s="5">
        <v>38.5</v>
      </c>
      <c r="H179" s="5">
        <f t="shared" si="2"/>
        <v>77</v>
      </c>
    </row>
    <row r="180" customFormat="1" spans="1:8">
      <c r="A180" s="2">
        <v>46155</v>
      </c>
      <c r="B180" s="3">
        <v>1602800</v>
      </c>
      <c r="C180" s="3" t="s">
        <v>151</v>
      </c>
      <c r="D180" s="4">
        <v>20421967</v>
      </c>
      <c r="E180" s="3" t="s">
        <v>66</v>
      </c>
      <c r="F180" s="4">
        <v>1</v>
      </c>
      <c r="G180" s="5">
        <v>8</v>
      </c>
      <c r="H180" s="5">
        <f t="shared" si="2"/>
        <v>8</v>
      </c>
    </row>
    <row r="181" customFormat="1" spans="1:8">
      <c r="A181" s="2">
        <v>46155</v>
      </c>
      <c r="B181" s="3">
        <v>1602800</v>
      </c>
      <c r="C181" s="3" t="s">
        <v>151</v>
      </c>
      <c r="D181" s="4">
        <v>20318235</v>
      </c>
      <c r="E181" s="3" t="s">
        <v>88</v>
      </c>
      <c r="F181" s="4">
        <v>1</v>
      </c>
      <c r="G181" s="5">
        <v>8</v>
      </c>
      <c r="H181" s="5">
        <f t="shared" si="2"/>
        <v>8</v>
      </c>
    </row>
    <row r="182" customFormat="1" spans="1:8">
      <c r="A182" s="2">
        <v>46155</v>
      </c>
      <c r="B182" s="3">
        <v>1602800</v>
      </c>
      <c r="C182" s="3" t="s">
        <v>151</v>
      </c>
      <c r="D182" s="4">
        <v>20329843</v>
      </c>
      <c r="E182" s="3" t="s">
        <v>92</v>
      </c>
      <c r="F182" s="4">
        <v>1</v>
      </c>
      <c r="G182" s="5">
        <v>11</v>
      </c>
      <c r="H182" s="5">
        <f t="shared" si="2"/>
        <v>11</v>
      </c>
    </row>
    <row r="183" customFormat="1" spans="1:8">
      <c r="A183" s="2">
        <v>46155</v>
      </c>
      <c r="B183" s="3">
        <v>1602800</v>
      </c>
      <c r="C183" s="3" t="s">
        <v>151</v>
      </c>
      <c r="D183" s="4">
        <v>20329847</v>
      </c>
      <c r="E183" s="3" t="s">
        <v>129</v>
      </c>
      <c r="F183" s="4">
        <v>1</v>
      </c>
      <c r="G183" s="5">
        <v>13</v>
      </c>
      <c r="H183" s="5">
        <f t="shared" si="2"/>
        <v>13</v>
      </c>
    </row>
    <row r="184" customFormat="1" spans="1:8">
      <c r="A184" s="2">
        <v>46155</v>
      </c>
      <c r="B184" s="3">
        <v>1602800</v>
      </c>
      <c r="C184" s="3" t="s">
        <v>151</v>
      </c>
      <c r="D184" s="4">
        <v>20365390</v>
      </c>
      <c r="E184" s="3" t="s">
        <v>134</v>
      </c>
      <c r="F184" s="4">
        <v>1</v>
      </c>
      <c r="G184" s="5">
        <v>22</v>
      </c>
      <c r="H184" s="5">
        <f t="shared" si="2"/>
        <v>22</v>
      </c>
    </row>
    <row r="185" customFormat="1" spans="1:8">
      <c r="A185" s="2">
        <v>46155</v>
      </c>
      <c r="B185" s="3">
        <v>1602800</v>
      </c>
      <c r="C185" s="3" t="s">
        <v>151</v>
      </c>
      <c r="D185" s="4">
        <v>20333142</v>
      </c>
      <c r="E185" s="3" t="s">
        <v>138</v>
      </c>
      <c r="F185" s="4">
        <v>1</v>
      </c>
      <c r="G185" s="5">
        <v>22</v>
      </c>
      <c r="H185" s="5">
        <f t="shared" si="2"/>
        <v>22</v>
      </c>
    </row>
    <row r="186" customFormat="1" spans="1:8">
      <c r="A186" s="2">
        <v>46155</v>
      </c>
      <c r="B186" s="3">
        <v>1602800</v>
      </c>
      <c r="C186" s="3" t="s">
        <v>156</v>
      </c>
      <c r="D186" s="4">
        <v>20322243</v>
      </c>
      <c r="E186" s="3" t="s">
        <v>117</v>
      </c>
      <c r="F186" s="4">
        <v>1</v>
      </c>
      <c r="G186" s="5">
        <v>30</v>
      </c>
      <c r="H186" s="5">
        <f t="shared" si="2"/>
        <v>30</v>
      </c>
    </row>
    <row r="187" customFormat="1" spans="1:8">
      <c r="A187" s="2">
        <v>46155</v>
      </c>
      <c r="B187" s="3">
        <v>1602800</v>
      </c>
      <c r="C187" s="3" t="s">
        <v>152</v>
      </c>
      <c r="D187" s="4">
        <v>20419674</v>
      </c>
      <c r="E187" s="3" t="s">
        <v>104</v>
      </c>
      <c r="F187" s="4">
        <v>1</v>
      </c>
      <c r="G187" s="5">
        <v>66</v>
      </c>
      <c r="H187" s="5">
        <f t="shared" si="2"/>
        <v>66</v>
      </c>
    </row>
    <row r="188" customFormat="1" spans="1:8">
      <c r="A188" s="2">
        <v>46155</v>
      </c>
      <c r="B188" s="3">
        <v>1602800</v>
      </c>
      <c r="C188" s="3" t="s">
        <v>153</v>
      </c>
      <c r="D188" s="4">
        <v>20321257</v>
      </c>
      <c r="E188" s="3" t="s">
        <v>68</v>
      </c>
      <c r="F188" s="4">
        <v>2</v>
      </c>
      <c r="G188" s="5">
        <v>16.5</v>
      </c>
      <c r="H188" s="5">
        <f t="shared" si="2"/>
        <v>33</v>
      </c>
    </row>
    <row r="189" customFormat="1" spans="1:8">
      <c r="A189" s="2">
        <v>46155</v>
      </c>
      <c r="B189" s="3">
        <v>1602800</v>
      </c>
      <c r="C189" s="3" t="s">
        <v>153</v>
      </c>
      <c r="D189" s="4">
        <v>20318262</v>
      </c>
      <c r="E189" s="3" t="s">
        <v>77</v>
      </c>
      <c r="F189" s="4">
        <v>2</v>
      </c>
      <c r="G189" s="5">
        <v>16.5</v>
      </c>
      <c r="H189" s="5">
        <f t="shared" si="2"/>
        <v>33</v>
      </c>
    </row>
    <row r="190" customFormat="1" spans="1:8">
      <c r="A190" s="2">
        <v>46156</v>
      </c>
      <c r="B190" s="3">
        <v>1603015</v>
      </c>
      <c r="C190" s="3" t="s">
        <v>150</v>
      </c>
      <c r="D190" s="4">
        <v>20326613</v>
      </c>
      <c r="E190" s="3" t="s">
        <v>78</v>
      </c>
      <c r="F190" s="4">
        <v>16</v>
      </c>
      <c r="G190" s="5">
        <v>88</v>
      </c>
      <c r="H190" s="5">
        <f t="shared" si="2"/>
        <v>1408</v>
      </c>
    </row>
    <row r="191" customFormat="1" spans="1:8">
      <c r="A191" s="2">
        <v>46156</v>
      </c>
      <c r="B191" s="3">
        <v>1603015</v>
      </c>
      <c r="C191" s="3" t="s">
        <v>150</v>
      </c>
      <c r="D191" s="4">
        <v>20340902</v>
      </c>
      <c r="E191" s="3" t="s">
        <v>79</v>
      </c>
      <c r="F191" s="4">
        <v>1</v>
      </c>
      <c r="G191" s="5">
        <v>104.5</v>
      </c>
      <c r="H191" s="5">
        <f t="shared" si="2"/>
        <v>104.5</v>
      </c>
    </row>
    <row r="192" customFormat="1" spans="1:8">
      <c r="A192" s="2">
        <v>46156</v>
      </c>
      <c r="B192" s="3">
        <v>1603015</v>
      </c>
      <c r="C192" s="3" t="s">
        <v>151</v>
      </c>
      <c r="D192" s="4">
        <v>20318235</v>
      </c>
      <c r="E192" s="3" t="s">
        <v>88</v>
      </c>
      <c r="F192" s="4">
        <v>1</v>
      </c>
      <c r="G192" s="5">
        <v>8</v>
      </c>
      <c r="H192" s="5">
        <f t="shared" si="2"/>
        <v>8</v>
      </c>
    </row>
    <row r="193" customFormat="1" spans="1:8">
      <c r="A193" s="2">
        <v>46156</v>
      </c>
      <c r="B193" s="3">
        <v>1603015</v>
      </c>
      <c r="C193" s="3" t="s">
        <v>151</v>
      </c>
      <c r="D193" s="4">
        <v>20351064</v>
      </c>
      <c r="E193" s="3" t="s">
        <v>99</v>
      </c>
      <c r="F193" s="4">
        <v>4</v>
      </c>
      <c r="G193" s="5">
        <v>13.5</v>
      </c>
      <c r="H193" s="5">
        <f t="shared" si="2"/>
        <v>54</v>
      </c>
    </row>
    <row r="194" customFormat="1" spans="1:8">
      <c r="A194" s="2">
        <v>46156</v>
      </c>
      <c r="B194" s="3">
        <v>1603015</v>
      </c>
      <c r="C194" s="3" t="s">
        <v>151</v>
      </c>
      <c r="D194" s="4">
        <v>20318250</v>
      </c>
      <c r="E194" s="3" t="s">
        <v>113</v>
      </c>
      <c r="F194" s="4">
        <v>1</v>
      </c>
      <c r="G194" s="5">
        <v>8</v>
      </c>
      <c r="H194" s="5">
        <f t="shared" ref="H194:H257" si="3">G194*F194</f>
        <v>8</v>
      </c>
    </row>
    <row r="195" customFormat="1" spans="1:8">
      <c r="A195" s="2">
        <v>46156</v>
      </c>
      <c r="B195" s="3">
        <v>1603015</v>
      </c>
      <c r="C195" s="3" t="s">
        <v>151</v>
      </c>
      <c r="D195" s="4">
        <v>20331668</v>
      </c>
      <c r="E195" s="3" t="s">
        <v>115</v>
      </c>
      <c r="F195" s="4">
        <v>2</v>
      </c>
      <c r="G195" s="5">
        <v>8</v>
      </c>
      <c r="H195" s="5">
        <f t="shared" si="3"/>
        <v>16</v>
      </c>
    </row>
    <row r="196" customFormat="1" spans="1:8">
      <c r="A196" s="2">
        <v>46156</v>
      </c>
      <c r="B196" s="3">
        <v>1603015</v>
      </c>
      <c r="C196" s="3" t="s">
        <v>151</v>
      </c>
      <c r="D196" s="4">
        <v>20329847</v>
      </c>
      <c r="E196" s="3" t="s">
        <v>129</v>
      </c>
      <c r="F196" s="4">
        <v>2</v>
      </c>
      <c r="G196" s="5">
        <v>13</v>
      </c>
      <c r="H196" s="5">
        <f t="shared" si="3"/>
        <v>26</v>
      </c>
    </row>
    <row r="197" customFormat="1" spans="1:8">
      <c r="A197" s="2">
        <v>46156</v>
      </c>
      <c r="B197" s="3">
        <v>1603015</v>
      </c>
      <c r="C197" s="3" t="s">
        <v>151</v>
      </c>
      <c r="D197" s="4">
        <v>20318231</v>
      </c>
      <c r="E197" s="3" t="s">
        <v>130</v>
      </c>
      <c r="F197" s="4">
        <v>1</v>
      </c>
      <c r="G197" s="5">
        <v>16.5</v>
      </c>
      <c r="H197" s="5">
        <f t="shared" si="3"/>
        <v>16.5</v>
      </c>
    </row>
    <row r="198" customFormat="1" spans="1:8">
      <c r="A198" s="2">
        <v>46156</v>
      </c>
      <c r="B198" s="3">
        <v>1603015</v>
      </c>
      <c r="C198" s="3" t="s">
        <v>152</v>
      </c>
      <c r="D198" s="4">
        <v>20351811</v>
      </c>
      <c r="E198" s="3" t="s">
        <v>110</v>
      </c>
      <c r="F198" s="4">
        <v>2</v>
      </c>
      <c r="G198" s="5">
        <v>55</v>
      </c>
      <c r="H198" s="5">
        <f t="shared" si="3"/>
        <v>110</v>
      </c>
    </row>
    <row r="199" customFormat="1" spans="1:8">
      <c r="A199" s="2">
        <v>46156</v>
      </c>
      <c r="B199" s="3">
        <v>1603015</v>
      </c>
      <c r="C199" s="3" t="s">
        <v>153</v>
      </c>
      <c r="D199" s="4">
        <v>20321257</v>
      </c>
      <c r="E199" s="3" t="s">
        <v>68</v>
      </c>
      <c r="F199" s="4">
        <v>7</v>
      </c>
      <c r="G199" s="5">
        <v>16.5</v>
      </c>
      <c r="H199" s="5">
        <f t="shared" si="3"/>
        <v>115.5</v>
      </c>
    </row>
    <row r="200" customFormat="1" spans="1:8">
      <c r="A200" s="14">
        <v>46156</v>
      </c>
      <c r="B200" s="15">
        <v>1603015</v>
      </c>
      <c r="C200" s="15" t="s">
        <v>153</v>
      </c>
      <c r="D200" s="16">
        <v>20318229</v>
      </c>
      <c r="E200" s="15" t="s">
        <v>76</v>
      </c>
      <c r="F200" s="16">
        <v>3</v>
      </c>
      <c r="G200" s="17">
        <v>16.5</v>
      </c>
      <c r="H200" s="17">
        <f t="shared" si="3"/>
        <v>49.5</v>
      </c>
    </row>
    <row r="201" customFormat="1" spans="1:8">
      <c r="A201" s="2">
        <v>46156</v>
      </c>
      <c r="B201" s="3">
        <v>1603015</v>
      </c>
      <c r="C201" s="3" t="s">
        <v>153</v>
      </c>
      <c r="D201" s="4">
        <v>20318262</v>
      </c>
      <c r="E201" s="3" t="s">
        <v>77</v>
      </c>
      <c r="F201" s="4">
        <v>3</v>
      </c>
      <c r="G201" s="5">
        <v>16.5</v>
      </c>
      <c r="H201" s="5">
        <f t="shared" si="3"/>
        <v>49.5</v>
      </c>
    </row>
    <row r="202" customFormat="1" spans="1:8">
      <c r="A202" s="14">
        <v>46156</v>
      </c>
      <c r="B202" s="15">
        <v>1603015</v>
      </c>
      <c r="C202" s="15" t="s">
        <v>153</v>
      </c>
      <c r="D202" s="16">
        <v>20014827</v>
      </c>
      <c r="E202" s="15" t="s">
        <v>84</v>
      </c>
      <c r="F202" s="16">
        <v>1</v>
      </c>
      <c r="G202" s="17">
        <v>16.5</v>
      </c>
      <c r="H202" s="17">
        <f t="shared" si="3"/>
        <v>16.5</v>
      </c>
    </row>
    <row r="203" customFormat="1" spans="1:8">
      <c r="A203" s="2">
        <v>46156</v>
      </c>
      <c r="B203" s="3">
        <v>1603015</v>
      </c>
      <c r="C203" s="3" t="s">
        <v>153</v>
      </c>
      <c r="D203" s="4">
        <v>20321468</v>
      </c>
      <c r="E203" s="3" t="s">
        <v>89</v>
      </c>
      <c r="F203" s="4">
        <v>1</v>
      </c>
      <c r="G203" s="5">
        <v>16.5</v>
      </c>
      <c r="H203" s="5">
        <f t="shared" si="3"/>
        <v>16.5</v>
      </c>
    </row>
    <row r="204" customFormat="1" spans="1:8">
      <c r="A204" s="2">
        <v>46156</v>
      </c>
      <c r="B204" s="3">
        <v>1603015</v>
      </c>
      <c r="C204" s="3" t="s">
        <v>153</v>
      </c>
      <c r="D204" s="4">
        <v>20318379</v>
      </c>
      <c r="E204" s="3" t="s">
        <v>127</v>
      </c>
      <c r="F204" s="4">
        <v>1</v>
      </c>
      <c r="G204" s="5">
        <v>16.5</v>
      </c>
      <c r="H204" s="5">
        <f t="shared" si="3"/>
        <v>16.5</v>
      </c>
    </row>
    <row r="205" customFormat="1" spans="1:8">
      <c r="A205" s="2">
        <v>46156</v>
      </c>
      <c r="B205" s="3">
        <v>1603015</v>
      </c>
      <c r="C205" s="3" t="s">
        <v>153</v>
      </c>
      <c r="D205" s="4">
        <v>20342042</v>
      </c>
      <c r="E205" s="3" t="s">
        <v>131</v>
      </c>
      <c r="F205" s="4">
        <v>3</v>
      </c>
      <c r="G205" s="5">
        <v>16.5</v>
      </c>
      <c r="H205" s="5">
        <f t="shared" si="3"/>
        <v>49.5</v>
      </c>
    </row>
    <row r="206" customFormat="1" spans="1:8">
      <c r="A206" s="2">
        <v>46156</v>
      </c>
      <c r="B206" s="3">
        <v>1603115</v>
      </c>
      <c r="C206" s="3" t="s">
        <v>150</v>
      </c>
      <c r="D206" s="4">
        <v>20326613</v>
      </c>
      <c r="E206" s="3" t="s">
        <v>78</v>
      </c>
      <c r="F206" s="4">
        <v>4</v>
      </c>
      <c r="G206" s="5">
        <v>88</v>
      </c>
      <c r="H206" s="5">
        <f t="shared" si="3"/>
        <v>352</v>
      </c>
    </row>
    <row r="207" customFormat="1" spans="1:8">
      <c r="A207" s="2">
        <v>46156</v>
      </c>
      <c r="B207" s="3">
        <v>1603115</v>
      </c>
      <c r="C207" s="3" t="s">
        <v>152</v>
      </c>
      <c r="D207" s="4">
        <v>20351811</v>
      </c>
      <c r="E207" s="3" t="s">
        <v>110</v>
      </c>
      <c r="F207" s="4">
        <v>1</v>
      </c>
      <c r="G207" s="5">
        <v>55</v>
      </c>
      <c r="H207" s="5">
        <f t="shared" si="3"/>
        <v>55</v>
      </c>
    </row>
    <row r="208" customFormat="1" spans="1:8">
      <c r="A208" s="2">
        <v>46156</v>
      </c>
      <c r="B208" s="3">
        <v>1603115</v>
      </c>
      <c r="C208" s="3" t="s">
        <v>153</v>
      </c>
      <c r="D208" s="4">
        <v>20318197</v>
      </c>
      <c r="E208" s="3" t="s">
        <v>119</v>
      </c>
      <c r="F208" s="4">
        <v>10</v>
      </c>
      <c r="G208" s="5">
        <v>16.5</v>
      </c>
      <c r="H208" s="5">
        <f t="shared" si="3"/>
        <v>165</v>
      </c>
    </row>
    <row r="209" customFormat="1" spans="1:8">
      <c r="A209" s="2">
        <v>46156</v>
      </c>
      <c r="B209" s="3">
        <v>1603179</v>
      </c>
      <c r="C209" s="3" t="s">
        <v>150</v>
      </c>
      <c r="D209" s="4">
        <v>20328374</v>
      </c>
      <c r="E209" s="3" t="s">
        <v>72</v>
      </c>
      <c r="F209" s="4">
        <v>1</v>
      </c>
      <c r="G209" s="5">
        <v>264</v>
      </c>
      <c r="H209" s="5">
        <f t="shared" si="3"/>
        <v>264</v>
      </c>
    </row>
    <row r="210" customFormat="1" spans="1:8">
      <c r="A210" s="2">
        <v>46156</v>
      </c>
      <c r="B210" s="3">
        <v>1603179</v>
      </c>
      <c r="C210" s="3" t="s">
        <v>150</v>
      </c>
      <c r="D210" s="4">
        <v>20326613</v>
      </c>
      <c r="E210" s="3" t="s">
        <v>78</v>
      </c>
      <c r="F210" s="4">
        <v>6</v>
      </c>
      <c r="G210" s="5">
        <v>88</v>
      </c>
      <c r="H210" s="5">
        <f t="shared" si="3"/>
        <v>528</v>
      </c>
    </row>
    <row r="211" customFormat="1" spans="1:8">
      <c r="A211" s="2">
        <v>46156</v>
      </c>
      <c r="B211" s="3">
        <v>1603179</v>
      </c>
      <c r="C211" s="3" t="s">
        <v>150</v>
      </c>
      <c r="D211" s="4">
        <v>20318094</v>
      </c>
      <c r="E211" s="3" t="s">
        <v>102</v>
      </c>
      <c r="F211" s="4">
        <v>1</v>
      </c>
      <c r="G211" s="5">
        <v>148.5</v>
      </c>
      <c r="H211" s="5">
        <f t="shared" si="3"/>
        <v>148.5</v>
      </c>
    </row>
    <row r="212" customFormat="1" spans="1:8">
      <c r="A212" s="2">
        <v>46156</v>
      </c>
      <c r="B212" s="3">
        <v>1603179</v>
      </c>
      <c r="C212" s="3" t="s">
        <v>150</v>
      </c>
      <c r="D212" s="4">
        <v>20411130</v>
      </c>
      <c r="E212" s="3" t="s">
        <v>124</v>
      </c>
      <c r="F212" s="4">
        <v>1</v>
      </c>
      <c r="G212" s="5">
        <v>16.5</v>
      </c>
      <c r="H212" s="5">
        <f t="shared" si="3"/>
        <v>16.5</v>
      </c>
    </row>
    <row r="213" customFormat="1" spans="1:8">
      <c r="A213" s="2">
        <v>46156</v>
      </c>
      <c r="B213" s="3">
        <v>1603179</v>
      </c>
      <c r="C213" s="3" t="s">
        <v>150</v>
      </c>
      <c r="D213" s="4">
        <v>20411133</v>
      </c>
      <c r="E213" s="3" t="s">
        <v>126</v>
      </c>
      <c r="F213" s="4">
        <v>1</v>
      </c>
      <c r="G213" s="5">
        <v>16.5</v>
      </c>
      <c r="H213" s="5">
        <f t="shared" si="3"/>
        <v>16.5</v>
      </c>
    </row>
    <row r="214" customFormat="1" spans="1:8">
      <c r="A214" s="2">
        <v>46156</v>
      </c>
      <c r="B214" s="3">
        <v>1603179</v>
      </c>
      <c r="C214" s="3" t="s">
        <v>154</v>
      </c>
      <c r="D214" s="4">
        <v>20328192</v>
      </c>
      <c r="E214" s="3" t="s">
        <v>75</v>
      </c>
      <c r="F214" s="4">
        <v>1</v>
      </c>
      <c r="G214" s="5">
        <v>38.5</v>
      </c>
      <c r="H214" s="5">
        <f t="shared" si="3"/>
        <v>38.5</v>
      </c>
    </row>
    <row r="215" customFormat="1" spans="1:8">
      <c r="A215" s="2">
        <v>46156</v>
      </c>
      <c r="B215" s="3">
        <v>1603179</v>
      </c>
      <c r="C215" s="3" t="s">
        <v>151</v>
      </c>
      <c r="D215" s="4">
        <v>20329846</v>
      </c>
      <c r="E215" s="3" t="s">
        <v>90</v>
      </c>
      <c r="F215" s="4">
        <v>2</v>
      </c>
      <c r="G215" s="5">
        <v>13.5</v>
      </c>
      <c r="H215" s="5">
        <f t="shared" si="3"/>
        <v>27</v>
      </c>
    </row>
    <row r="216" customFormat="1" spans="1:8">
      <c r="A216" s="2">
        <v>46156</v>
      </c>
      <c r="B216" s="3">
        <v>1603179</v>
      </c>
      <c r="C216" s="3" t="s">
        <v>151</v>
      </c>
      <c r="D216" s="4">
        <v>20329843</v>
      </c>
      <c r="E216" s="3" t="s">
        <v>92</v>
      </c>
      <c r="F216" s="4">
        <v>1</v>
      </c>
      <c r="G216" s="5">
        <v>11</v>
      </c>
      <c r="H216" s="5">
        <f t="shared" si="3"/>
        <v>11</v>
      </c>
    </row>
    <row r="217" customFormat="1" spans="1:8">
      <c r="A217" s="2">
        <v>46156</v>
      </c>
      <c r="B217" s="3">
        <v>1603179</v>
      </c>
      <c r="C217" s="3" t="s">
        <v>151</v>
      </c>
      <c r="D217" s="4">
        <v>20351064</v>
      </c>
      <c r="E217" s="3" t="s">
        <v>99</v>
      </c>
      <c r="F217" s="4">
        <v>1</v>
      </c>
      <c r="G217" s="5">
        <v>13.5</v>
      </c>
      <c r="H217" s="5">
        <f t="shared" si="3"/>
        <v>13.5</v>
      </c>
    </row>
    <row r="218" customFormat="1" spans="1:8">
      <c r="A218" s="2">
        <v>46156</v>
      </c>
      <c r="B218" s="3">
        <v>1603179</v>
      </c>
      <c r="C218" s="3" t="s">
        <v>151</v>
      </c>
      <c r="D218" s="4">
        <v>20333778</v>
      </c>
      <c r="E218" s="3" t="s">
        <v>116</v>
      </c>
      <c r="F218" s="4">
        <v>2</v>
      </c>
      <c r="G218" s="5">
        <v>16.5</v>
      </c>
      <c r="H218" s="5">
        <f t="shared" si="3"/>
        <v>33</v>
      </c>
    </row>
    <row r="219" customFormat="1" spans="1:8">
      <c r="A219" s="2">
        <v>46156</v>
      </c>
      <c r="B219" s="3">
        <v>1603179</v>
      </c>
      <c r="C219" s="3" t="s">
        <v>151</v>
      </c>
      <c r="D219" s="4">
        <v>20329847</v>
      </c>
      <c r="E219" s="3" t="s">
        <v>129</v>
      </c>
      <c r="F219" s="4">
        <v>3</v>
      </c>
      <c r="G219" s="5">
        <v>13</v>
      </c>
      <c r="H219" s="5">
        <f t="shared" si="3"/>
        <v>39</v>
      </c>
    </row>
    <row r="220" customFormat="1" spans="1:8">
      <c r="A220" s="2">
        <v>46156</v>
      </c>
      <c r="B220" s="3">
        <v>1603179</v>
      </c>
      <c r="C220" s="3" t="s">
        <v>151</v>
      </c>
      <c r="D220" s="4">
        <v>20365390</v>
      </c>
      <c r="E220" s="3" t="s">
        <v>134</v>
      </c>
      <c r="F220" s="4">
        <v>1</v>
      </c>
      <c r="G220" s="5">
        <v>22</v>
      </c>
      <c r="H220" s="5">
        <f t="shared" si="3"/>
        <v>22</v>
      </c>
    </row>
    <row r="221" customFormat="1" spans="1:8">
      <c r="A221" s="2">
        <v>46156</v>
      </c>
      <c r="B221" s="3">
        <v>1603179</v>
      </c>
      <c r="C221" s="3" t="s">
        <v>151</v>
      </c>
      <c r="D221" s="4">
        <v>20333142</v>
      </c>
      <c r="E221" s="3" t="s">
        <v>138</v>
      </c>
      <c r="F221" s="4">
        <v>1</v>
      </c>
      <c r="G221" s="5">
        <v>22</v>
      </c>
      <c r="H221" s="5">
        <f t="shared" si="3"/>
        <v>22</v>
      </c>
    </row>
    <row r="222" customFormat="1" spans="1:8">
      <c r="A222" s="2">
        <v>46156</v>
      </c>
      <c r="B222" s="3">
        <v>1603179</v>
      </c>
      <c r="C222" s="3" t="s">
        <v>155</v>
      </c>
      <c r="D222" s="4">
        <v>20322228</v>
      </c>
      <c r="E222" s="3" t="s">
        <v>74</v>
      </c>
      <c r="F222" s="4">
        <v>1</v>
      </c>
      <c r="G222" s="5">
        <v>15</v>
      </c>
      <c r="H222" s="5">
        <f t="shared" si="3"/>
        <v>15</v>
      </c>
    </row>
    <row r="223" customFormat="1" spans="1:8">
      <c r="A223" s="2">
        <v>46156</v>
      </c>
      <c r="B223" s="3">
        <v>1603179</v>
      </c>
      <c r="C223" s="3" t="s">
        <v>152</v>
      </c>
      <c r="D223" s="4">
        <v>20394933</v>
      </c>
      <c r="E223" s="3" t="s">
        <v>105</v>
      </c>
      <c r="F223" s="4">
        <v>1</v>
      </c>
      <c r="G223" s="5">
        <v>66</v>
      </c>
      <c r="H223" s="5">
        <f t="shared" si="3"/>
        <v>66</v>
      </c>
    </row>
    <row r="224" customFormat="1" spans="1:8">
      <c r="A224" s="2">
        <v>46156</v>
      </c>
      <c r="B224" s="3">
        <v>1603179</v>
      </c>
      <c r="C224" s="3" t="s">
        <v>152</v>
      </c>
      <c r="D224" s="4">
        <v>20328892</v>
      </c>
      <c r="E224" s="3" t="s">
        <v>107</v>
      </c>
      <c r="F224" s="4">
        <v>1</v>
      </c>
      <c r="G224" s="5">
        <v>88</v>
      </c>
      <c r="H224" s="5">
        <f t="shared" si="3"/>
        <v>88</v>
      </c>
    </row>
    <row r="225" customFormat="1" spans="1:8">
      <c r="A225" s="2">
        <v>46156</v>
      </c>
      <c r="B225" s="3">
        <v>1603179</v>
      </c>
      <c r="C225" s="3" t="s">
        <v>153</v>
      </c>
      <c r="D225" s="4">
        <v>20321257</v>
      </c>
      <c r="E225" s="3" t="s">
        <v>68</v>
      </c>
      <c r="F225" s="4">
        <v>4</v>
      </c>
      <c r="G225" s="5">
        <v>16.5</v>
      </c>
      <c r="H225" s="5">
        <f t="shared" si="3"/>
        <v>66</v>
      </c>
    </row>
    <row r="226" customFormat="1" spans="1:8">
      <c r="A226" s="2">
        <v>46156</v>
      </c>
      <c r="B226" s="3">
        <v>1603179</v>
      </c>
      <c r="C226" s="3" t="s">
        <v>153</v>
      </c>
      <c r="D226" s="4">
        <v>20329844</v>
      </c>
      <c r="E226" s="3" t="s">
        <v>70</v>
      </c>
      <c r="F226" s="4">
        <v>1</v>
      </c>
      <c r="G226" s="5">
        <v>16.5</v>
      </c>
      <c r="H226" s="5">
        <f t="shared" si="3"/>
        <v>16.5</v>
      </c>
    </row>
    <row r="227" customFormat="1" spans="1:8">
      <c r="A227" s="2">
        <v>46156</v>
      </c>
      <c r="B227" s="3">
        <v>1603179</v>
      </c>
      <c r="C227" s="3" t="s">
        <v>153</v>
      </c>
      <c r="D227" s="4">
        <v>20318262</v>
      </c>
      <c r="E227" s="3" t="s">
        <v>77</v>
      </c>
      <c r="F227" s="4">
        <v>3</v>
      </c>
      <c r="G227" s="5">
        <v>16.5</v>
      </c>
      <c r="H227" s="5">
        <f t="shared" si="3"/>
        <v>49.5</v>
      </c>
    </row>
    <row r="228" customFormat="1" spans="1:8">
      <c r="A228" s="14">
        <v>46156</v>
      </c>
      <c r="B228" s="15">
        <v>1603179</v>
      </c>
      <c r="C228" s="15" t="s">
        <v>153</v>
      </c>
      <c r="D228" s="16">
        <v>20014827</v>
      </c>
      <c r="E228" s="15" t="s">
        <v>84</v>
      </c>
      <c r="F228" s="16">
        <v>1</v>
      </c>
      <c r="G228" s="17">
        <v>16.5</v>
      </c>
      <c r="H228" s="17">
        <f t="shared" si="3"/>
        <v>16.5</v>
      </c>
    </row>
    <row r="229" customFormat="1" spans="1:8">
      <c r="A229" s="2">
        <v>46156</v>
      </c>
      <c r="B229" s="3">
        <v>1603179</v>
      </c>
      <c r="C229" s="3" t="s">
        <v>153</v>
      </c>
      <c r="D229" s="4">
        <v>20321468</v>
      </c>
      <c r="E229" s="3" t="s">
        <v>89</v>
      </c>
      <c r="F229" s="4">
        <v>2</v>
      </c>
      <c r="G229" s="5">
        <v>16.5</v>
      </c>
      <c r="H229" s="5">
        <f t="shared" si="3"/>
        <v>33</v>
      </c>
    </row>
    <row r="230" customFormat="1" spans="1:8">
      <c r="A230" s="2">
        <v>46156</v>
      </c>
      <c r="B230" s="3">
        <v>1603179</v>
      </c>
      <c r="C230" s="3" t="s">
        <v>153</v>
      </c>
      <c r="D230" s="4">
        <v>20318197</v>
      </c>
      <c r="E230" s="3" t="s">
        <v>119</v>
      </c>
      <c r="F230" s="4">
        <v>2</v>
      </c>
      <c r="G230" s="5">
        <v>16.5</v>
      </c>
      <c r="H230" s="5">
        <f t="shared" si="3"/>
        <v>33</v>
      </c>
    </row>
    <row r="231" customFormat="1" spans="1:8">
      <c r="A231" s="2">
        <v>46156</v>
      </c>
      <c r="B231" s="3">
        <v>1603208</v>
      </c>
      <c r="C231" s="3" t="s">
        <v>150</v>
      </c>
      <c r="D231" s="4">
        <v>20326613</v>
      </c>
      <c r="E231" s="3" t="s">
        <v>78</v>
      </c>
      <c r="F231" s="4">
        <v>1</v>
      </c>
      <c r="G231" s="5">
        <v>88</v>
      </c>
      <c r="H231" s="5">
        <f t="shared" si="3"/>
        <v>88</v>
      </c>
    </row>
    <row r="232" customFormat="1" spans="1:8">
      <c r="A232" s="2">
        <v>46156</v>
      </c>
      <c r="B232" s="3">
        <v>1603208</v>
      </c>
      <c r="C232" s="3" t="s">
        <v>151</v>
      </c>
      <c r="D232" s="4">
        <v>20351064</v>
      </c>
      <c r="E232" s="3" t="s">
        <v>99</v>
      </c>
      <c r="F232" s="4">
        <v>1</v>
      </c>
      <c r="G232" s="5">
        <v>13.5</v>
      </c>
      <c r="H232" s="5">
        <f t="shared" si="3"/>
        <v>13.5</v>
      </c>
    </row>
    <row r="233" customFormat="1" spans="1:8">
      <c r="A233" s="2">
        <v>46156</v>
      </c>
      <c r="B233" s="3">
        <v>1603208</v>
      </c>
      <c r="C233" s="3" t="s">
        <v>151</v>
      </c>
      <c r="D233" s="4">
        <v>20329847</v>
      </c>
      <c r="E233" s="3" t="s">
        <v>129</v>
      </c>
      <c r="F233" s="4">
        <v>1</v>
      </c>
      <c r="G233" s="5">
        <v>13</v>
      </c>
      <c r="H233" s="5">
        <f t="shared" si="3"/>
        <v>13</v>
      </c>
    </row>
    <row r="234" customFormat="1" spans="1:8">
      <c r="A234" s="2">
        <v>46156</v>
      </c>
      <c r="B234" s="3">
        <v>1603208</v>
      </c>
      <c r="C234" s="3" t="s">
        <v>151</v>
      </c>
      <c r="D234" s="4">
        <v>20318231</v>
      </c>
      <c r="E234" s="3" t="s">
        <v>130</v>
      </c>
      <c r="F234" s="4">
        <v>2</v>
      </c>
      <c r="G234" s="5">
        <v>16.5</v>
      </c>
      <c r="H234" s="5">
        <f t="shared" si="3"/>
        <v>33</v>
      </c>
    </row>
    <row r="235" customFormat="1" spans="1:8">
      <c r="A235" s="2">
        <v>46156</v>
      </c>
      <c r="B235" s="3">
        <v>1603208</v>
      </c>
      <c r="C235" s="3" t="s">
        <v>152</v>
      </c>
      <c r="D235" s="4">
        <v>20351811</v>
      </c>
      <c r="E235" s="3" t="s">
        <v>110</v>
      </c>
      <c r="F235" s="4">
        <v>1</v>
      </c>
      <c r="G235" s="5">
        <v>55</v>
      </c>
      <c r="H235" s="5">
        <f t="shared" si="3"/>
        <v>55</v>
      </c>
    </row>
    <row r="236" customFormat="1" spans="1:8">
      <c r="A236" s="14">
        <v>46156</v>
      </c>
      <c r="B236" s="15">
        <v>1603208</v>
      </c>
      <c r="C236" s="15" t="s">
        <v>153</v>
      </c>
      <c r="D236" s="16">
        <v>20318229</v>
      </c>
      <c r="E236" s="15" t="s">
        <v>76</v>
      </c>
      <c r="F236" s="16">
        <v>2</v>
      </c>
      <c r="G236" s="17">
        <v>16.5</v>
      </c>
      <c r="H236" s="17">
        <f t="shared" si="3"/>
        <v>33</v>
      </c>
    </row>
    <row r="237" customFormat="1" spans="1:8">
      <c r="A237" s="2">
        <v>46157</v>
      </c>
      <c r="B237" s="3">
        <v>1603411</v>
      </c>
      <c r="C237" s="3" t="s">
        <v>150</v>
      </c>
      <c r="D237" s="4">
        <v>20326613</v>
      </c>
      <c r="E237" s="3" t="s">
        <v>78</v>
      </c>
      <c r="F237" s="4">
        <v>7</v>
      </c>
      <c r="G237" s="5">
        <v>88</v>
      </c>
      <c r="H237" s="5">
        <f t="shared" si="3"/>
        <v>616</v>
      </c>
    </row>
    <row r="238" customFormat="1" spans="1:8">
      <c r="A238" s="2">
        <v>46157</v>
      </c>
      <c r="B238" s="3">
        <v>1603411</v>
      </c>
      <c r="C238" s="3" t="s">
        <v>150</v>
      </c>
      <c r="D238" s="4">
        <v>20318156</v>
      </c>
      <c r="E238" s="3" t="s">
        <v>112</v>
      </c>
      <c r="F238" s="4">
        <v>1</v>
      </c>
      <c r="G238" s="5">
        <v>154</v>
      </c>
      <c r="H238" s="5">
        <f t="shared" si="3"/>
        <v>154</v>
      </c>
    </row>
    <row r="239" customFormat="1" spans="1:8">
      <c r="A239" s="2">
        <v>46157</v>
      </c>
      <c r="B239" s="3">
        <v>1603411</v>
      </c>
      <c r="C239" s="3" t="s">
        <v>150</v>
      </c>
      <c r="D239" s="4">
        <v>20312951</v>
      </c>
      <c r="E239" s="3" t="s">
        <v>121</v>
      </c>
      <c r="F239" s="4">
        <v>1</v>
      </c>
      <c r="G239" s="5">
        <v>165</v>
      </c>
      <c r="H239" s="5">
        <f t="shared" si="3"/>
        <v>165</v>
      </c>
    </row>
    <row r="240" customFormat="1" spans="1:8">
      <c r="A240" s="2">
        <v>46157</v>
      </c>
      <c r="B240" s="3">
        <v>1603411</v>
      </c>
      <c r="C240" s="3" t="s">
        <v>154</v>
      </c>
      <c r="D240" s="4">
        <v>20328192</v>
      </c>
      <c r="E240" s="3" t="s">
        <v>75</v>
      </c>
      <c r="F240" s="4">
        <v>1</v>
      </c>
      <c r="G240" s="5">
        <v>38.5</v>
      </c>
      <c r="H240" s="5">
        <f t="shared" si="3"/>
        <v>38.5</v>
      </c>
    </row>
    <row r="241" customFormat="1" spans="1:8">
      <c r="A241" s="2">
        <v>46157</v>
      </c>
      <c r="B241" s="3">
        <v>1603411</v>
      </c>
      <c r="C241" s="3" t="s">
        <v>151</v>
      </c>
      <c r="D241" s="4">
        <v>20318166</v>
      </c>
      <c r="E241" s="3" t="s">
        <v>93</v>
      </c>
      <c r="F241" s="4">
        <v>2</v>
      </c>
      <c r="G241" s="5">
        <v>8</v>
      </c>
      <c r="H241" s="5">
        <f t="shared" si="3"/>
        <v>16</v>
      </c>
    </row>
    <row r="242" customFormat="1" spans="1:8">
      <c r="A242" s="2">
        <v>46157</v>
      </c>
      <c r="B242" s="3">
        <v>1603411</v>
      </c>
      <c r="C242" s="3" t="s">
        <v>151</v>
      </c>
      <c r="D242" s="4">
        <v>20351064</v>
      </c>
      <c r="E242" s="3" t="s">
        <v>99</v>
      </c>
      <c r="F242" s="4">
        <v>2</v>
      </c>
      <c r="G242" s="5">
        <v>13.5</v>
      </c>
      <c r="H242" s="5">
        <f t="shared" si="3"/>
        <v>27</v>
      </c>
    </row>
    <row r="243" customFormat="1" spans="1:8">
      <c r="A243" s="2">
        <v>46157</v>
      </c>
      <c r="B243" s="3">
        <v>1603411</v>
      </c>
      <c r="C243" s="3" t="s">
        <v>151</v>
      </c>
      <c r="D243" s="4">
        <v>20331668</v>
      </c>
      <c r="E243" s="3" t="s">
        <v>115</v>
      </c>
      <c r="F243" s="4">
        <v>2</v>
      </c>
      <c r="G243" s="5">
        <v>8</v>
      </c>
      <c r="H243" s="5">
        <f t="shared" si="3"/>
        <v>16</v>
      </c>
    </row>
    <row r="244" customFormat="1" spans="1:8">
      <c r="A244" s="2">
        <v>46157</v>
      </c>
      <c r="B244" s="3">
        <v>1603411</v>
      </c>
      <c r="C244" s="3" t="s">
        <v>152</v>
      </c>
      <c r="D244" s="4">
        <v>20419565</v>
      </c>
      <c r="E244" s="3" t="s">
        <v>103</v>
      </c>
      <c r="F244" s="4">
        <v>1</v>
      </c>
      <c r="G244" s="5">
        <v>66</v>
      </c>
      <c r="H244" s="5">
        <f t="shared" si="3"/>
        <v>66</v>
      </c>
    </row>
    <row r="245" customFormat="1" spans="1:8">
      <c r="A245" s="2">
        <v>46157</v>
      </c>
      <c r="B245" s="3">
        <v>1603411</v>
      </c>
      <c r="C245" s="3" t="s">
        <v>152</v>
      </c>
      <c r="D245" s="4">
        <v>20419674</v>
      </c>
      <c r="E245" s="3" t="s">
        <v>104</v>
      </c>
      <c r="F245" s="4">
        <v>1</v>
      </c>
      <c r="G245" s="5">
        <v>66</v>
      </c>
      <c r="H245" s="5">
        <f t="shared" si="3"/>
        <v>66</v>
      </c>
    </row>
    <row r="246" customFormat="1" spans="1:8">
      <c r="A246" s="2">
        <v>46157</v>
      </c>
      <c r="B246" s="3">
        <v>1603411</v>
      </c>
      <c r="C246" s="3" t="s">
        <v>153</v>
      </c>
      <c r="D246" s="4">
        <v>20321257</v>
      </c>
      <c r="E246" s="3" t="s">
        <v>68</v>
      </c>
      <c r="F246" s="4">
        <v>4</v>
      </c>
      <c r="G246" s="5">
        <v>16.5</v>
      </c>
      <c r="H246" s="5">
        <f t="shared" si="3"/>
        <v>66</v>
      </c>
    </row>
    <row r="247" customFormat="1" spans="1:8">
      <c r="A247" s="2">
        <v>46157</v>
      </c>
      <c r="B247" s="3">
        <v>1603411</v>
      </c>
      <c r="C247" s="3" t="s">
        <v>153</v>
      </c>
      <c r="D247" s="4">
        <v>20329874</v>
      </c>
      <c r="E247" s="3" t="s">
        <v>73</v>
      </c>
      <c r="F247" s="4">
        <v>1</v>
      </c>
      <c r="G247" s="5">
        <v>16.5</v>
      </c>
      <c r="H247" s="5">
        <f t="shared" si="3"/>
        <v>16.5</v>
      </c>
    </row>
    <row r="248" customFormat="1" spans="1:8">
      <c r="A248" s="14">
        <v>46157</v>
      </c>
      <c r="B248" s="15">
        <v>1603411</v>
      </c>
      <c r="C248" s="15" t="s">
        <v>153</v>
      </c>
      <c r="D248" s="16">
        <v>20318229</v>
      </c>
      <c r="E248" s="15" t="s">
        <v>76</v>
      </c>
      <c r="F248" s="16">
        <v>1</v>
      </c>
      <c r="G248" s="17">
        <v>16.5</v>
      </c>
      <c r="H248" s="17">
        <f t="shared" si="3"/>
        <v>16.5</v>
      </c>
    </row>
    <row r="249" customFormat="1" spans="1:8">
      <c r="A249" s="2">
        <v>46157</v>
      </c>
      <c r="B249" s="3">
        <v>1603411</v>
      </c>
      <c r="C249" s="3" t="s">
        <v>153</v>
      </c>
      <c r="D249" s="4">
        <v>20318262</v>
      </c>
      <c r="E249" s="3" t="s">
        <v>77</v>
      </c>
      <c r="F249" s="4">
        <v>3</v>
      </c>
      <c r="G249" s="5">
        <v>16.5</v>
      </c>
      <c r="H249" s="5">
        <f t="shared" si="3"/>
        <v>49.5</v>
      </c>
    </row>
    <row r="250" customFormat="1" spans="1:8">
      <c r="A250" s="14">
        <v>46157</v>
      </c>
      <c r="B250" s="15">
        <v>1603411</v>
      </c>
      <c r="C250" s="15" t="s">
        <v>153</v>
      </c>
      <c r="D250" s="16">
        <v>20014827</v>
      </c>
      <c r="E250" s="15" t="s">
        <v>84</v>
      </c>
      <c r="F250" s="16">
        <v>1</v>
      </c>
      <c r="G250" s="17">
        <v>16.5</v>
      </c>
      <c r="H250" s="17">
        <f t="shared" si="3"/>
        <v>16.5</v>
      </c>
    </row>
    <row r="251" customFormat="1" spans="1:8">
      <c r="A251" s="2">
        <v>46157</v>
      </c>
      <c r="B251" s="3">
        <v>1603411</v>
      </c>
      <c r="C251" s="3" t="s">
        <v>153</v>
      </c>
      <c r="D251" s="4">
        <v>20321468</v>
      </c>
      <c r="E251" s="3" t="s">
        <v>89</v>
      </c>
      <c r="F251" s="4">
        <v>2</v>
      </c>
      <c r="G251" s="5">
        <v>16.5</v>
      </c>
      <c r="H251" s="5">
        <f t="shared" si="3"/>
        <v>33</v>
      </c>
    </row>
    <row r="252" customFormat="1" spans="1:8">
      <c r="A252" s="2">
        <v>46157</v>
      </c>
      <c r="B252" s="3">
        <v>1603411</v>
      </c>
      <c r="C252" s="3" t="s">
        <v>153</v>
      </c>
      <c r="D252" s="4">
        <v>20318197</v>
      </c>
      <c r="E252" s="3" t="s">
        <v>119</v>
      </c>
      <c r="F252" s="4">
        <v>5</v>
      </c>
      <c r="G252" s="5">
        <v>16.5</v>
      </c>
      <c r="H252" s="5">
        <f t="shared" si="3"/>
        <v>82.5</v>
      </c>
    </row>
    <row r="253" customFormat="1" spans="1:8">
      <c r="A253" s="2">
        <v>46157</v>
      </c>
      <c r="B253" s="3">
        <v>1603411</v>
      </c>
      <c r="C253" s="3" t="s">
        <v>153</v>
      </c>
      <c r="D253" s="4">
        <v>20342042</v>
      </c>
      <c r="E253" s="3" t="s">
        <v>131</v>
      </c>
      <c r="F253" s="4">
        <v>1</v>
      </c>
      <c r="G253" s="5">
        <v>16.5</v>
      </c>
      <c r="H253" s="5">
        <f t="shared" si="3"/>
        <v>16.5</v>
      </c>
    </row>
    <row r="254" customFormat="1" spans="1:8">
      <c r="A254" s="2">
        <v>46157</v>
      </c>
      <c r="B254" s="3">
        <v>1603511</v>
      </c>
      <c r="C254" s="3" t="s">
        <v>150</v>
      </c>
      <c r="D254" s="4">
        <v>20326613</v>
      </c>
      <c r="E254" s="3" t="s">
        <v>78</v>
      </c>
      <c r="F254" s="4">
        <v>6</v>
      </c>
      <c r="G254" s="5">
        <v>88</v>
      </c>
      <c r="H254" s="5">
        <f t="shared" si="3"/>
        <v>528</v>
      </c>
    </row>
    <row r="255" customFormat="1" spans="1:8">
      <c r="A255" s="2">
        <v>46157</v>
      </c>
      <c r="B255" s="3">
        <v>1603511</v>
      </c>
      <c r="C255" s="3" t="s">
        <v>151</v>
      </c>
      <c r="D255" s="4">
        <v>20318257</v>
      </c>
      <c r="E255" s="3" t="s">
        <v>86</v>
      </c>
      <c r="F255" s="4">
        <v>1</v>
      </c>
      <c r="G255" s="5">
        <v>8</v>
      </c>
      <c r="H255" s="5">
        <f t="shared" si="3"/>
        <v>8</v>
      </c>
    </row>
    <row r="256" customFormat="1" spans="1:8">
      <c r="A256" s="2">
        <v>46157</v>
      </c>
      <c r="B256" s="3">
        <v>1603511</v>
      </c>
      <c r="C256" s="3" t="s">
        <v>151</v>
      </c>
      <c r="D256" s="4">
        <v>20318235</v>
      </c>
      <c r="E256" s="3" t="s">
        <v>88</v>
      </c>
      <c r="F256" s="4">
        <v>2</v>
      </c>
      <c r="G256" s="5">
        <v>8</v>
      </c>
      <c r="H256" s="5">
        <f t="shared" si="3"/>
        <v>16</v>
      </c>
    </row>
    <row r="257" customFormat="1" spans="1:8">
      <c r="A257" s="2">
        <v>46157</v>
      </c>
      <c r="B257" s="3">
        <v>1603511</v>
      </c>
      <c r="C257" s="3" t="s">
        <v>151</v>
      </c>
      <c r="D257" s="4">
        <v>20329846</v>
      </c>
      <c r="E257" s="3" t="s">
        <v>90</v>
      </c>
      <c r="F257" s="4">
        <v>1</v>
      </c>
      <c r="G257" s="5">
        <v>13.5</v>
      </c>
      <c r="H257" s="5">
        <f t="shared" si="3"/>
        <v>13.5</v>
      </c>
    </row>
    <row r="258" customFormat="1" spans="1:8">
      <c r="A258" s="2">
        <v>46157</v>
      </c>
      <c r="B258" s="3">
        <v>1603511</v>
      </c>
      <c r="C258" s="3" t="s">
        <v>151</v>
      </c>
      <c r="D258" s="4">
        <v>20329843</v>
      </c>
      <c r="E258" s="3" t="s">
        <v>92</v>
      </c>
      <c r="F258" s="4">
        <v>2</v>
      </c>
      <c r="G258" s="5">
        <v>11</v>
      </c>
      <c r="H258" s="5">
        <f t="shared" ref="H258:H321" si="4">G258*F258</f>
        <v>22</v>
      </c>
    </row>
    <row r="259" customFormat="1" spans="1:8">
      <c r="A259" s="2">
        <v>46157</v>
      </c>
      <c r="B259" s="3">
        <v>1603511</v>
      </c>
      <c r="C259" s="3" t="s">
        <v>151</v>
      </c>
      <c r="D259" s="4">
        <v>20333778</v>
      </c>
      <c r="E259" s="3" t="s">
        <v>116</v>
      </c>
      <c r="F259" s="4">
        <v>1</v>
      </c>
      <c r="G259" s="5">
        <v>16.5</v>
      </c>
      <c r="H259" s="5">
        <f t="shared" si="4"/>
        <v>16.5</v>
      </c>
    </row>
    <row r="260" customFormat="1" spans="1:8">
      <c r="A260" s="2">
        <v>46157</v>
      </c>
      <c r="B260" s="3">
        <v>1603511</v>
      </c>
      <c r="C260" s="3" t="s">
        <v>151</v>
      </c>
      <c r="D260" s="4">
        <v>20329847</v>
      </c>
      <c r="E260" s="3" t="s">
        <v>129</v>
      </c>
      <c r="F260" s="4">
        <v>2</v>
      </c>
      <c r="G260" s="5">
        <v>13</v>
      </c>
      <c r="H260" s="5">
        <f t="shared" si="4"/>
        <v>26</v>
      </c>
    </row>
    <row r="261" customFormat="1" spans="1:8">
      <c r="A261" s="2">
        <v>46157</v>
      </c>
      <c r="B261" s="3">
        <v>1603511</v>
      </c>
      <c r="C261" s="3" t="s">
        <v>151</v>
      </c>
      <c r="D261" s="4">
        <v>20318231</v>
      </c>
      <c r="E261" s="3" t="s">
        <v>130</v>
      </c>
      <c r="F261" s="4">
        <v>1</v>
      </c>
      <c r="G261" s="5">
        <v>16.5</v>
      </c>
      <c r="H261" s="5">
        <f t="shared" si="4"/>
        <v>16.5</v>
      </c>
    </row>
    <row r="262" customFormat="1" spans="1:8">
      <c r="A262" s="2">
        <v>46157</v>
      </c>
      <c r="B262" s="3">
        <v>1603511</v>
      </c>
      <c r="C262" s="3" t="s">
        <v>155</v>
      </c>
      <c r="D262" s="4">
        <v>20322228</v>
      </c>
      <c r="E262" s="3" t="s">
        <v>74</v>
      </c>
      <c r="F262" s="4">
        <v>1</v>
      </c>
      <c r="G262" s="5">
        <v>15</v>
      </c>
      <c r="H262" s="5">
        <f t="shared" si="4"/>
        <v>15</v>
      </c>
    </row>
    <row r="263" customFormat="1" spans="1:8">
      <c r="A263" s="2">
        <v>46157</v>
      </c>
      <c r="B263" s="3">
        <v>1603511</v>
      </c>
      <c r="C263" s="3" t="s">
        <v>152</v>
      </c>
      <c r="D263" s="4">
        <v>20351811</v>
      </c>
      <c r="E263" s="3" t="s">
        <v>110</v>
      </c>
      <c r="F263" s="4">
        <v>3</v>
      </c>
      <c r="G263" s="5">
        <v>55</v>
      </c>
      <c r="H263" s="5">
        <f t="shared" si="4"/>
        <v>165</v>
      </c>
    </row>
    <row r="264" customFormat="1" spans="1:8">
      <c r="A264" s="14">
        <v>46157</v>
      </c>
      <c r="B264" s="15">
        <v>1603511</v>
      </c>
      <c r="C264" s="15" t="s">
        <v>153</v>
      </c>
      <c r="D264" s="16">
        <v>20318229</v>
      </c>
      <c r="E264" s="15" t="s">
        <v>76</v>
      </c>
      <c r="F264" s="16">
        <v>1</v>
      </c>
      <c r="G264" s="17">
        <v>16.5</v>
      </c>
      <c r="H264" s="17">
        <f t="shared" si="4"/>
        <v>16.5</v>
      </c>
    </row>
    <row r="265" customFormat="1" spans="1:8">
      <c r="A265" s="2">
        <v>46157</v>
      </c>
      <c r="B265" s="3">
        <v>1603511</v>
      </c>
      <c r="C265" s="3" t="s">
        <v>153</v>
      </c>
      <c r="D265" s="4">
        <v>20318262</v>
      </c>
      <c r="E265" s="3" t="s">
        <v>77</v>
      </c>
      <c r="F265" s="4">
        <v>2</v>
      </c>
      <c r="G265" s="5">
        <v>16.5</v>
      </c>
      <c r="H265" s="5">
        <f t="shared" si="4"/>
        <v>33</v>
      </c>
    </row>
    <row r="266" customFormat="1" spans="1:8">
      <c r="A266" s="2">
        <v>46157</v>
      </c>
      <c r="B266" s="3">
        <v>1603511</v>
      </c>
      <c r="C266" s="3" t="s">
        <v>153</v>
      </c>
      <c r="D266" s="4">
        <v>20318241</v>
      </c>
      <c r="E266" s="3" t="s">
        <v>83</v>
      </c>
      <c r="F266" s="4">
        <v>1</v>
      </c>
      <c r="G266" s="5">
        <v>16.5</v>
      </c>
      <c r="H266" s="5">
        <f t="shared" si="4"/>
        <v>16.5</v>
      </c>
    </row>
    <row r="267" customFormat="1" spans="1:8">
      <c r="A267" s="2">
        <v>46157</v>
      </c>
      <c r="B267" s="3">
        <v>1603570</v>
      </c>
      <c r="C267" s="3" t="s">
        <v>150</v>
      </c>
      <c r="D267" s="4">
        <v>20328374</v>
      </c>
      <c r="E267" s="3" t="s">
        <v>72</v>
      </c>
      <c r="F267" s="4">
        <v>1</v>
      </c>
      <c r="G267" s="5">
        <v>264</v>
      </c>
      <c r="H267" s="5">
        <f t="shared" si="4"/>
        <v>264</v>
      </c>
    </row>
    <row r="268" customFormat="1" spans="1:8">
      <c r="A268" s="2">
        <v>46157</v>
      </c>
      <c r="B268" s="3">
        <v>1603570</v>
      </c>
      <c r="C268" s="3" t="s">
        <v>150</v>
      </c>
      <c r="D268" s="4">
        <v>20326613</v>
      </c>
      <c r="E268" s="3" t="s">
        <v>78</v>
      </c>
      <c r="F268" s="4">
        <v>5</v>
      </c>
      <c r="G268" s="5">
        <v>88</v>
      </c>
      <c r="H268" s="5">
        <f t="shared" si="4"/>
        <v>440</v>
      </c>
    </row>
    <row r="269" customFormat="1" spans="1:8">
      <c r="A269" s="2">
        <v>46157</v>
      </c>
      <c r="B269" s="3">
        <v>1603570</v>
      </c>
      <c r="C269" s="3" t="s">
        <v>151</v>
      </c>
      <c r="D269" s="4">
        <v>20318235</v>
      </c>
      <c r="E269" s="3" t="s">
        <v>88</v>
      </c>
      <c r="F269" s="4">
        <v>1</v>
      </c>
      <c r="G269" s="5">
        <v>8</v>
      </c>
      <c r="H269" s="5">
        <f t="shared" si="4"/>
        <v>8</v>
      </c>
    </row>
    <row r="270" customFormat="1" spans="1:8">
      <c r="A270" s="2">
        <v>46157</v>
      </c>
      <c r="B270" s="3">
        <v>1603570</v>
      </c>
      <c r="C270" s="3" t="s">
        <v>151</v>
      </c>
      <c r="D270" s="4">
        <v>20329981</v>
      </c>
      <c r="E270" s="3" t="s">
        <v>95</v>
      </c>
      <c r="F270" s="4">
        <v>1</v>
      </c>
      <c r="G270" s="5">
        <v>8</v>
      </c>
      <c r="H270" s="5">
        <f t="shared" si="4"/>
        <v>8</v>
      </c>
    </row>
    <row r="271" customFormat="1" spans="1:8">
      <c r="A271" s="2">
        <v>46157</v>
      </c>
      <c r="B271" s="3">
        <v>1603570</v>
      </c>
      <c r="C271" s="3" t="s">
        <v>151</v>
      </c>
      <c r="D271" s="4">
        <v>20351064</v>
      </c>
      <c r="E271" s="3" t="s">
        <v>99</v>
      </c>
      <c r="F271" s="4">
        <v>2</v>
      </c>
      <c r="G271" s="5">
        <v>13.5</v>
      </c>
      <c r="H271" s="5">
        <f t="shared" si="4"/>
        <v>27</v>
      </c>
    </row>
    <row r="272" customFormat="1" spans="1:8">
      <c r="A272" s="2">
        <v>46157</v>
      </c>
      <c r="B272" s="3">
        <v>1603570</v>
      </c>
      <c r="C272" s="3" t="s">
        <v>151</v>
      </c>
      <c r="D272" s="4">
        <v>20329847</v>
      </c>
      <c r="E272" s="3" t="s">
        <v>129</v>
      </c>
      <c r="F272" s="4">
        <v>1</v>
      </c>
      <c r="G272" s="5">
        <v>13</v>
      </c>
      <c r="H272" s="5">
        <f t="shared" si="4"/>
        <v>13</v>
      </c>
    </row>
    <row r="273" customFormat="1" spans="1:8">
      <c r="A273" s="2">
        <v>46157</v>
      </c>
      <c r="B273" s="3">
        <v>1603570</v>
      </c>
      <c r="C273" s="3" t="s">
        <v>151</v>
      </c>
      <c r="D273" s="4">
        <v>20318231</v>
      </c>
      <c r="E273" s="3" t="s">
        <v>130</v>
      </c>
      <c r="F273" s="4">
        <v>1</v>
      </c>
      <c r="G273" s="5">
        <v>16.5</v>
      </c>
      <c r="H273" s="5">
        <f t="shared" si="4"/>
        <v>16.5</v>
      </c>
    </row>
    <row r="274" customFormat="1" spans="1:8">
      <c r="A274" s="2">
        <v>46157</v>
      </c>
      <c r="B274" s="3">
        <v>1603570</v>
      </c>
      <c r="C274" s="3" t="s">
        <v>152</v>
      </c>
      <c r="D274" s="4">
        <v>20419565</v>
      </c>
      <c r="E274" s="3" t="s">
        <v>103</v>
      </c>
      <c r="F274" s="4">
        <v>1</v>
      </c>
      <c r="G274" s="5">
        <v>66</v>
      </c>
      <c r="H274" s="5">
        <f t="shared" si="4"/>
        <v>66</v>
      </c>
    </row>
    <row r="275" customFormat="1" spans="1:8">
      <c r="A275" s="2">
        <v>46157</v>
      </c>
      <c r="B275" s="3">
        <v>1603570</v>
      </c>
      <c r="C275" s="3" t="s">
        <v>152</v>
      </c>
      <c r="D275" s="4">
        <v>20394933</v>
      </c>
      <c r="E275" s="3" t="s">
        <v>105</v>
      </c>
      <c r="F275" s="4">
        <v>1</v>
      </c>
      <c r="G275" s="5">
        <v>66</v>
      </c>
      <c r="H275" s="5">
        <f t="shared" si="4"/>
        <v>66</v>
      </c>
    </row>
    <row r="276" customFormat="1" spans="1:8">
      <c r="A276" s="2">
        <v>46157</v>
      </c>
      <c r="B276" s="3">
        <v>1603570</v>
      </c>
      <c r="C276" s="3" t="s">
        <v>153</v>
      </c>
      <c r="D276" s="4">
        <v>20321257</v>
      </c>
      <c r="E276" s="3" t="s">
        <v>68</v>
      </c>
      <c r="F276" s="4">
        <v>3</v>
      </c>
      <c r="G276" s="5">
        <v>16.5</v>
      </c>
      <c r="H276" s="5">
        <f t="shared" si="4"/>
        <v>49.5</v>
      </c>
    </row>
    <row r="277" customFormat="1" spans="1:8">
      <c r="A277" s="14">
        <v>46157</v>
      </c>
      <c r="B277" s="15">
        <v>1603570</v>
      </c>
      <c r="C277" s="15" t="s">
        <v>153</v>
      </c>
      <c r="D277" s="16">
        <v>20318229</v>
      </c>
      <c r="E277" s="15" t="s">
        <v>76</v>
      </c>
      <c r="F277" s="16">
        <v>2</v>
      </c>
      <c r="G277" s="17">
        <v>16.5</v>
      </c>
      <c r="H277" s="17">
        <f t="shared" si="4"/>
        <v>33</v>
      </c>
    </row>
    <row r="278" customFormat="1" spans="1:8">
      <c r="A278" s="2">
        <v>46157</v>
      </c>
      <c r="B278" s="3">
        <v>1603570</v>
      </c>
      <c r="C278" s="3" t="s">
        <v>153</v>
      </c>
      <c r="D278" s="4">
        <v>20318262</v>
      </c>
      <c r="E278" s="3" t="s">
        <v>77</v>
      </c>
      <c r="F278" s="4">
        <v>2</v>
      </c>
      <c r="G278" s="5">
        <v>16.5</v>
      </c>
      <c r="H278" s="5">
        <f t="shared" si="4"/>
        <v>33</v>
      </c>
    </row>
    <row r="279" customFormat="1" spans="1:8">
      <c r="A279" s="2">
        <v>46157</v>
      </c>
      <c r="B279" s="3">
        <v>1603570</v>
      </c>
      <c r="C279" s="3" t="s">
        <v>153</v>
      </c>
      <c r="D279" s="4">
        <v>20321468</v>
      </c>
      <c r="E279" s="3" t="s">
        <v>89</v>
      </c>
      <c r="F279" s="4">
        <v>1</v>
      </c>
      <c r="G279" s="5">
        <v>16.5</v>
      </c>
      <c r="H279" s="5">
        <f t="shared" si="4"/>
        <v>16.5</v>
      </c>
    </row>
    <row r="280" customFormat="1" spans="1:8">
      <c r="A280" s="2">
        <v>46157</v>
      </c>
      <c r="B280" s="3">
        <v>1603570</v>
      </c>
      <c r="C280" s="3" t="s">
        <v>153</v>
      </c>
      <c r="D280" s="4">
        <v>20318197</v>
      </c>
      <c r="E280" s="3" t="s">
        <v>119</v>
      </c>
      <c r="F280" s="4">
        <v>3</v>
      </c>
      <c r="G280" s="5">
        <v>16.5</v>
      </c>
      <c r="H280" s="5">
        <f t="shared" si="4"/>
        <v>49.5</v>
      </c>
    </row>
    <row r="281" customFormat="1" spans="1:8">
      <c r="A281" s="2">
        <v>46158</v>
      </c>
      <c r="B281" s="3">
        <v>1603772</v>
      </c>
      <c r="C281" s="3" t="s">
        <v>150</v>
      </c>
      <c r="D281" s="4">
        <v>20326613</v>
      </c>
      <c r="E281" s="3" t="s">
        <v>78</v>
      </c>
      <c r="F281" s="4">
        <v>8</v>
      </c>
      <c r="G281" s="5">
        <v>88</v>
      </c>
      <c r="H281" s="5">
        <f t="shared" si="4"/>
        <v>704</v>
      </c>
    </row>
    <row r="282" customFormat="1" spans="1:8">
      <c r="A282" s="2">
        <v>46158</v>
      </c>
      <c r="B282" s="3">
        <v>1603772</v>
      </c>
      <c r="C282" s="3" t="s">
        <v>150</v>
      </c>
      <c r="D282" s="4">
        <v>20377845</v>
      </c>
      <c r="E282" s="3" t="s">
        <v>106</v>
      </c>
      <c r="F282" s="4">
        <v>1</v>
      </c>
      <c r="G282" s="5">
        <v>66</v>
      </c>
      <c r="H282" s="5">
        <f t="shared" si="4"/>
        <v>66</v>
      </c>
    </row>
    <row r="283" customFormat="1" spans="1:8">
      <c r="A283" s="2">
        <v>46158</v>
      </c>
      <c r="B283" s="3">
        <v>1603772</v>
      </c>
      <c r="C283" s="3" t="s">
        <v>151</v>
      </c>
      <c r="D283" s="4">
        <v>20330564</v>
      </c>
      <c r="E283" s="3" t="s">
        <v>71</v>
      </c>
      <c r="F283" s="4">
        <v>1</v>
      </c>
      <c r="G283" s="5">
        <v>16.5</v>
      </c>
      <c r="H283" s="5">
        <f t="shared" si="4"/>
        <v>16.5</v>
      </c>
    </row>
    <row r="284" customFormat="1" spans="1:8">
      <c r="A284" s="2">
        <v>46158</v>
      </c>
      <c r="B284" s="3">
        <v>1603772</v>
      </c>
      <c r="C284" s="3" t="s">
        <v>151</v>
      </c>
      <c r="D284" s="4">
        <v>20318257</v>
      </c>
      <c r="E284" s="3" t="s">
        <v>86</v>
      </c>
      <c r="F284" s="4">
        <v>1</v>
      </c>
      <c r="G284" s="5">
        <v>8</v>
      </c>
      <c r="H284" s="5">
        <f t="shared" si="4"/>
        <v>8</v>
      </c>
    </row>
    <row r="285" customFormat="1" spans="1:8">
      <c r="A285" s="2">
        <v>46158</v>
      </c>
      <c r="B285" s="3">
        <v>1603772</v>
      </c>
      <c r="C285" s="3" t="s">
        <v>151</v>
      </c>
      <c r="D285" s="4">
        <v>20318235</v>
      </c>
      <c r="E285" s="3" t="s">
        <v>88</v>
      </c>
      <c r="F285" s="4">
        <v>1</v>
      </c>
      <c r="G285" s="5">
        <v>8</v>
      </c>
      <c r="H285" s="5">
        <f t="shared" si="4"/>
        <v>8</v>
      </c>
    </row>
    <row r="286" customFormat="1" spans="1:8">
      <c r="A286" s="2">
        <v>46158</v>
      </c>
      <c r="B286" s="3">
        <v>1603772</v>
      </c>
      <c r="C286" s="3" t="s">
        <v>151</v>
      </c>
      <c r="D286" s="4">
        <v>20329846</v>
      </c>
      <c r="E286" s="3" t="s">
        <v>90</v>
      </c>
      <c r="F286" s="4">
        <v>2</v>
      </c>
      <c r="G286" s="5">
        <v>13.5</v>
      </c>
      <c r="H286" s="5">
        <f t="shared" si="4"/>
        <v>27</v>
      </c>
    </row>
    <row r="287" customFormat="1" spans="1:8">
      <c r="A287" s="2">
        <v>46158</v>
      </c>
      <c r="B287" s="3">
        <v>1603772</v>
      </c>
      <c r="C287" s="3" t="s">
        <v>151</v>
      </c>
      <c r="D287" s="4">
        <v>20318166</v>
      </c>
      <c r="E287" s="3" t="s">
        <v>93</v>
      </c>
      <c r="F287" s="4">
        <v>1</v>
      </c>
      <c r="G287" s="5">
        <v>8</v>
      </c>
      <c r="H287" s="5">
        <f t="shared" si="4"/>
        <v>8</v>
      </c>
    </row>
    <row r="288" customFormat="1" spans="1:8">
      <c r="A288" s="2">
        <v>46158</v>
      </c>
      <c r="B288" s="3">
        <v>1603772</v>
      </c>
      <c r="C288" s="3" t="s">
        <v>151</v>
      </c>
      <c r="D288" s="4">
        <v>20351064</v>
      </c>
      <c r="E288" s="3" t="s">
        <v>99</v>
      </c>
      <c r="F288" s="4">
        <v>2</v>
      </c>
      <c r="G288" s="5">
        <v>13.5</v>
      </c>
      <c r="H288" s="5">
        <f t="shared" si="4"/>
        <v>27</v>
      </c>
    </row>
    <row r="289" customFormat="1" spans="1:8">
      <c r="A289" s="2">
        <v>46158</v>
      </c>
      <c r="B289" s="3">
        <v>1603772</v>
      </c>
      <c r="C289" s="3" t="s">
        <v>151</v>
      </c>
      <c r="D289" s="4">
        <v>20331668</v>
      </c>
      <c r="E289" s="3" t="s">
        <v>115</v>
      </c>
      <c r="F289" s="4">
        <v>2</v>
      </c>
      <c r="G289" s="5">
        <v>8</v>
      </c>
      <c r="H289" s="5">
        <f t="shared" si="4"/>
        <v>16</v>
      </c>
    </row>
    <row r="290" customFormat="1" spans="1:8">
      <c r="A290" s="2">
        <v>46158</v>
      </c>
      <c r="B290" s="3">
        <v>1603772</v>
      </c>
      <c r="C290" s="3" t="s">
        <v>151</v>
      </c>
      <c r="D290" s="4">
        <v>20333778</v>
      </c>
      <c r="E290" s="3" t="s">
        <v>116</v>
      </c>
      <c r="F290" s="4">
        <v>1</v>
      </c>
      <c r="G290" s="5">
        <v>16.5</v>
      </c>
      <c r="H290" s="5">
        <f t="shared" si="4"/>
        <v>16.5</v>
      </c>
    </row>
    <row r="291" customFormat="1" spans="1:8">
      <c r="A291" s="2">
        <v>46158</v>
      </c>
      <c r="B291" s="3">
        <v>1603772</v>
      </c>
      <c r="C291" s="3" t="s">
        <v>151</v>
      </c>
      <c r="D291" s="4">
        <v>20329847</v>
      </c>
      <c r="E291" s="3" t="s">
        <v>129</v>
      </c>
      <c r="F291" s="4">
        <v>4</v>
      </c>
      <c r="G291" s="5">
        <v>13</v>
      </c>
      <c r="H291" s="5">
        <f t="shared" si="4"/>
        <v>52</v>
      </c>
    </row>
    <row r="292" customFormat="1" spans="1:8">
      <c r="A292" s="2">
        <v>46158</v>
      </c>
      <c r="B292" s="3">
        <v>1603772</v>
      </c>
      <c r="C292" s="3" t="s">
        <v>151</v>
      </c>
      <c r="D292" s="4">
        <v>20318231</v>
      </c>
      <c r="E292" s="3" t="s">
        <v>130</v>
      </c>
      <c r="F292" s="4">
        <v>2</v>
      </c>
      <c r="G292" s="5">
        <v>16.5</v>
      </c>
      <c r="H292" s="5">
        <f t="shared" si="4"/>
        <v>33</v>
      </c>
    </row>
    <row r="293" customFormat="1" spans="1:8">
      <c r="A293" s="2">
        <v>46158</v>
      </c>
      <c r="B293" s="3">
        <v>1603772</v>
      </c>
      <c r="C293" s="3" t="s">
        <v>151</v>
      </c>
      <c r="D293" s="4">
        <v>20318254</v>
      </c>
      <c r="E293" s="3" t="s">
        <v>139</v>
      </c>
      <c r="F293" s="4">
        <v>1</v>
      </c>
      <c r="G293" s="5">
        <v>16.5</v>
      </c>
      <c r="H293" s="5">
        <f t="shared" si="4"/>
        <v>16.5</v>
      </c>
    </row>
    <row r="294" customFormat="1" spans="1:8">
      <c r="A294" s="2">
        <v>46158</v>
      </c>
      <c r="B294" s="3">
        <v>1603772</v>
      </c>
      <c r="C294" s="3" t="s">
        <v>151</v>
      </c>
      <c r="D294" s="4">
        <v>20331472</v>
      </c>
      <c r="E294" s="3" t="s">
        <v>141</v>
      </c>
      <c r="F294" s="4">
        <v>1</v>
      </c>
      <c r="G294" s="5">
        <v>8</v>
      </c>
      <c r="H294" s="5">
        <f t="shared" si="4"/>
        <v>8</v>
      </c>
    </row>
    <row r="295" customFormat="1" spans="1:8">
      <c r="A295" s="2">
        <v>46158</v>
      </c>
      <c r="B295" s="3">
        <v>1603772</v>
      </c>
      <c r="C295" s="3" t="s">
        <v>156</v>
      </c>
      <c r="D295" s="4">
        <v>20322235</v>
      </c>
      <c r="E295" s="3" t="s">
        <v>111</v>
      </c>
      <c r="F295" s="4">
        <v>6</v>
      </c>
      <c r="G295" s="5">
        <v>2.5</v>
      </c>
      <c r="H295" s="5">
        <f t="shared" si="4"/>
        <v>15</v>
      </c>
    </row>
    <row r="296" customFormat="1" spans="1:8">
      <c r="A296" s="2">
        <v>46158</v>
      </c>
      <c r="B296" s="3">
        <v>1603772</v>
      </c>
      <c r="C296" s="3" t="s">
        <v>152</v>
      </c>
      <c r="D296" s="4">
        <v>20419674</v>
      </c>
      <c r="E296" s="3" t="s">
        <v>104</v>
      </c>
      <c r="F296" s="4">
        <v>1</v>
      </c>
      <c r="G296" s="5">
        <v>66</v>
      </c>
      <c r="H296" s="5">
        <f t="shared" si="4"/>
        <v>66</v>
      </c>
    </row>
    <row r="297" customFormat="1" spans="1:8">
      <c r="A297" s="2">
        <v>46158</v>
      </c>
      <c r="B297" s="3">
        <v>1603772</v>
      </c>
      <c r="C297" s="3" t="s">
        <v>152</v>
      </c>
      <c r="D297" s="4">
        <v>20394933</v>
      </c>
      <c r="E297" s="3" t="s">
        <v>105</v>
      </c>
      <c r="F297" s="4">
        <v>1</v>
      </c>
      <c r="G297" s="5">
        <v>66</v>
      </c>
      <c r="H297" s="5">
        <f t="shared" si="4"/>
        <v>66</v>
      </c>
    </row>
    <row r="298" customFormat="1" spans="1:8">
      <c r="A298" s="2">
        <v>46158</v>
      </c>
      <c r="B298" s="3">
        <v>1603772</v>
      </c>
      <c r="C298" s="3" t="s">
        <v>152</v>
      </c>
      <c r="D298" s="4">
        <v>20328892</v>
      </c>
      <c r="E298" s="3" t="s">
        <v>107</v>
      </c>
      <c r="F298" s="4">
        <v>1</v>
      </c>
      <c r="G298" s="5">
        <v>88</v>
      </c>
      <c r="H298" s="5">
        <f t="shared" si="4"/>
        <v>88</v>
      </c>
    </row>
    <row r="299" customFormat="1" spans="1:8">
      <c r="A299" s="2">
        <v>46158</v>
      </c>
      <c r="B299" s="3">
        <v>1603772</v>
      </c>
      <c r="C299" s="3" t="s">
        <v>152</v>
      </c>
      <c r="D299" s="4">
        <v>20351811</v>
      </c>
      <c r="E299" s="3" t="s">
        <v>110</v>
      </c>
      <c r="F299" s="4">
        <v>8</v>
      </c>
      <c r="G299" s="5">
        <v>55</v>
      </c>
      <c r="H299" s="5">
        <f t="shared" si="4"/>
        <v>440</v>
      </c>
    </row>
    <row r="300" customFormat="1" spans="1:8">
      <c r="A300" s="2">
        <v>46158</v>
      </c>
      <c r="B300" s="3">
        <v>1603772</v>
      </c>
      <c r="C300" s="3" t="s">
        <v>153</v>
      </c>
      <c r="D300" s="4">
        <v>20321257</v>
      </c>
      <c r="E300" s="3" t="s">
        <v>68</v>
      </c>
      <c r="F300" s="4">
        <v>7</v>
      </c>
      <c r="G300" s="5">
        <v>16.5</v>
      </c>
      <c r="H300" s="5">
        <f t="shared" si="4"/>
        <v>115.5</v>
      </c>
    </row>
    <row r="301" customFormat="1" spans="1:8">
      <c r="A301" s="2">
        <v>46158</v>
      </c>
      <c r="B301" s="3">
        <v>1603772</v>
      </c>
      <c r="C301" s="3" t="s">
        <v>153</v>
      </c>
      <c r="D301" s="4">
        <v>20318262</v>
      </c>
      <c r="E301" s="3" t="s">
        <v>77</v>
      </c>
      <c r="F301" s="4">
        <v>2</v>
      </c>
      <c r="G301" s="5">
        <v>16.5</v>
      </c>
      <c r="H301" s="5">
        <f t="shared" si="4"/>
        <v>33</v>
      </c>
    </row>
    <row r="302" customFormat="1" spans="1:8">
      <c r="A302" s="2">
        <v>46158</v>
      </c>
      <c r="B302" s="3">
        <v>1603772</v>
      </c>
      <c r="C302" s="3" t="s">
        <v>153</v>
      </c>
      <c r="D302" s="4">
        <v>20318375</v>
      </c>
      <c r="E302" s="3" t="s">
        <v>81</v>
      </c>
      <c r="F302" s="4">
        <v>1</v>
      </c>
      <c r="G302" s="5">
        <v>16.5</v>
      </c>
      <c r="H302" s="5">
        <f t="shared" si="4"/>
        <v>16.5</v>
      </c>
    </row>
    <row r="303" customFormat="1" spans="1:8">
      <c r="A303" s="14">
        <v>46158</v>
      </c>
      <c r="B303" s="15">
        <v>1603772</v>
      </c>
      <c r="C303" s="15" t="s">
        <v>153</v>
      </c>
      <c r="D303" s="16">
        <v>20014824</v>
      </c>
      <c r="E303" s="15" t="s">
        <v>85</v>
      </c>
      <c r="F303" s="16">
        <v>1</v>
      </c>
      <c r="G303" s="17">
        <v>16.5</v>
      </c>
      <c r="H303" s="17">
        <f t="shared" si="4"/>
        <v>16.5</v>
      </c>
    </row>
    <row r="304" customFormat="1" spans="1:8">
      <c r="A304" s="2">
        <v>46158</v>
      </c>
      <c r="B304" s="3">
        <v>1603772</v>
      </c>
      <c r="C304" s="3" t="s">
        <v>153</v>
      </c>
      <c r="D304" s="4">
        <v>20318197</v>
      </c>
      <c r="E304" s="3" t="s">
        <v>119</v>
      </c>
      <c r="F304" s="4">
        <v>12</v>
      </c>
      <c r="G304" s="5">
        <v>16.5</v>
      </c>
      <c r="H304" s="5">
        <f t="shared" si="4"/>
        <v>198</v>
      </c>
    </row>
    <row r="305" customFormat="1" spans="1:8">
      <c r="A305" s="2">
        <v>46158</v>
      </c>
      <c r="B305" s="3">
        <v>1603772</v>
      </c>
      <c r="C305" s="3" t="s">
        <v>153</v>
      </c>
      <c r="D305" s="4">
        <v>20342042</v>
      </c>
      <c r="E305" s="3" t="s">
        <v>131</v>
      </c>
      <c r="F305" s="4">
        <v>2</v>
      </c>
      <c r="G305" s="5">
        <v>16.5</v>
      </c>
      <c r="H305" s="5">
        <f t="shared" si="4"/>
        <v>33</v>
      </c>
    </row>
    <row r="306" customFormat="1" spans="1:8">
      <c r="A306" s="2">
        <v>46158</v>
      </c>
      <c r="B306" s="3">
        <v>1603772</v>
      </c>
      <c r="C306" s="3" t="s">
        <v>153</v>
      </c>
      <c r="D306" s="4">
        <v>20318393</v>
      </c>
      <c r="E306" s="3" t="s">
        <v>140</v>
      </c>
      <c r="F306" s="4">
        <v>1</v>
      </c>
      <c r="G306" s="5">
        <v>16.5</v>
      </c>
      <c r="H306" s="5">
        <f t="shared" si="4"/>
        <v>16.5</v>
      </c>
    </row>
    <row r="307" customFormat="1" spans="1:8">
      <c r="A307" s="2">
        <v>46159</v>
      </c>
      <c r="B307" s="3">
        <v>1603851</v>
      </c>
      <c r="C307" s="3" t="s">
        <v>150</v>
      </c>
      <c r="D307" s="4">
        <v>20326613</v>
      </c>
      <c r="E307" s="3" t="s">
        <v>78</v>
      </c>
      <c r="F307" s="4">
        <v>12</v>
      </c>
      <c r="G307" s="5">
        <v>88</v>
      </c>
      <c r="H307" s="5">
        <f t="shared" si="4"/>
        <v>1056</v>
      </c>
    </row>
    <row r="308" customFormat="1" spans="1:8">
      <c r="A308" s="2">
        <v>46159</v>
      </c>
      <c r="B308" s="3">
        <v>1603851</v>
      </c>
      <c r="C308" s="3" t="s">
        <v>151</v>
      </c>
      <c r="D308" s="4">
        <v>20329847</v>
      </c>
      <c r="E308" s="3" t="s">
        <v>129</v>
      </c>
      <c r="F308" s="4">
        <v>1</v>
      </c>
      <c r="G308" s="5">
        <v>13</v>
      </c>
      <c r="H308" s="5">
        <f t="shared" si="4"/>
        <v>13</v>
      </c>
    </row>
    <row r="309" customFormat="1" spans="1:8">
      <c r="A309" s="2">
        <v>46159</v>
      </c>
      <c r="B309" s="3">
        <v>1603851</v>
      </c>
      <c r="C309" s="3" t="s">
        <v>151</v>
      </c>
      <c r="D309" s="4">
        <v>20318231</v>
      </c>
      <c r="E309" s="3" t="s">
        <v>130</v>
      </c>
      <c r="F309" s="4">
        <v>3</v>
      </c>
      <c r="G309" s="5">
        <v>16.5</v>
      </c>
      <c r="H309" s="5">
        <f t="shared" si="4"/>
        <v>49.5</v>
      </c>
    </row>
    <row r="310" customFormat="1" spans="1:8">
      <c r="A310" s="2">
        <v>46159</v>
      </c>
      <c r="B310" s="3">
        <v>1603851</v>
      </c>
      <c r="C310" s="3" t="s">
        <v>153</v>
      </c>
      <c r="D310" s="4">
        <v>20321257</v>
      </c>
      <c r="E310" s="3" t="s">
        <v>68</v>
      </c>
      <c r="F310" s="4">
        <v>1</v>
      </c>
      <c r="G310" s="5">
        <v>16.5</v>
      </c>
      <c r="H310" s="5">
        <f t="shared" si="4"/>
        <v>16.5</v>
      </c>
    </row>
    <row r="311" customFormat="1" spans="1:8">
      <c r="A311" s="14">
        <v>46159</v>
      </c>
      <c r="B311" s="15">
        <v>1603851</v>
      </c>
      <c r="C311" s="15" t="s">
        <v>153</v>
      </c>
      <c r="D311" s="16">
        <v>20318229</v>
      </c>
      <c r="E311" s="15" t="s">
        <v>76</v>
      </c>
      <c r="F311" s="16">
        <v>2</v>
      </c>
      <c r="G311" s="17">
        <v>16.5</v>
      </c>
      <c r="H311" s="17">
        <f t="shared" si="4"/>
        <v>33</v>
      </c>
    </row>
    <row r="312" customFormat="1" spans="1:8">
      <c r="A312" s="2">
        <v>46159</v>
      </c>
      <c r="B312" s="3">
        <v>1603851</v>
      </c>
      <c r="C312" s="3" t="s">
        <v>153</v>
      </c>
      <c r="D312" s="4">
        <v>20318375</v>
      </c>
      <c r="E312" s="3" t="s">
        <v>81</v>
      </c>
      <c r="F312" s="4">
        <v>1</v>
      </c>
      <c r="G312" s="5">
        <v>16.5</v>
      </c>
      <c r="H312" s="5">
        <f t="shared" si="4"/>
        <v>16.5</v>
      </c>
    </row>
    <row r="313" customFormat="1" spans="1:8">
      <c r="A313" s="14">
        <v>46159</v>
      </c>
      <c r="B313" s="15">
        <v>1603851</v>
      </c>
      <c r="C313" s="15" t="s">
        <v>153</v>
      </c>
      <c r="D313" s="16">
        <v>20014827</v>
      </c>
      <c r="E313" s="15" t="s">
        <v>84</v>
      </c>
      <c r="F313" s="16">
        <v>1</v>
      </c>
      <c r="G313" s="17">
        <v>16.5</v>
      </c>
      <c r="H313" s="17">
        <f t="shared" si="4"/>
        <v>16.5</v>
      </c>
    </row>
    <row r="314" customFormat="1" spans="1:8">
      <c r="A314" s="2">
        <v>46159</v>
      </c>
      <c r="B314" s="3">
        <v>1603851</v>
      </c>
      <c r="C314" s="3" t="s">
        <v>153</v>
      </c>
      <c r="D314" s="4">
        <v>20318197</v>
      </c>
      <c r="E314" s="3" t="s">
        <v>119</v>
      </c>
      <c r="F314" s="4">
        <v>6</v>
      </c>
      <c r="G314" s="5">
        <v>16.5</v>
      </c>
      <c r="H314" s="5">
        <f t="shared" si="4"/>
        <v>99</v>
      </c>
    </row>
    <row r="315" customFormat="1" spans="1:8">
      <c r="A315" s="2">
        <v>46159</v>
      </c>
      <c r="B315" s="3">
        <v>1603851</v>
      </c>
      <c r="C315" s="3" t="s">
        <v>153</v>
      </c>
      <c r="D315" s="4">
        <v>20342042</v>
      </c>
      <c r="E315" s="3" t="s">
        <v>131</v>
      </c>
      <c r="F315" s="4">
        <v>1</v>
      </c>
      <c r="G315" s="5">
        <v>16.5</v>
      </c>
      <c r="H315" s="5">
        <f t="shared" si="4"/>
        <v>16.5</v>
      </c>
    </row>
    <row r="316" customFormat="1" spans="1:8">
      <c r="A316" s="2">
        <v>46159</v>
      </c>
      <c r="B316" s="3">
        <v>1603851</v>
      </c>
      <c r="C316" s="3" t="s">
        <v>153</v>
      </c>
      <c r="D316" s="4">
        <v>20318393</v>
      </c>
      <c r="E316" s="3" t="s">
        <v>140</v>
      </c>
      <c r="F316" s="4">
        <v>1</v>
      </c>
      <c r="G316" s="5">
        <v>16.5</v>
      </c>
      <c r="H316" s="5">
        <f t="shared" si="4"/>
        <v>16.5</v>
      </c>
    </row>
    <row r="317" customFormat="1" spans="1:8">
      <c r="A317" s="2">
        <v>46159</v>
      </c>
      <c r="B317" s="3">
        <v>1603858</v>
      </c>
      <c r="C317" s="3" t="s">
        <v>151</v>
      </c>
      <c r="D317" s="4">
        <v>20318257</v>
      </c>
      <c r="E317" s="3" t="s">
        <v>86</v>
      </c>
      <c r="F317" s="4">
        <v>3</v>
      </c>
      <c r="G317" s="5">
        <v>8</v>
      </c>
      <c r="H317" s="5">
        <f t="shared" si="4"/>
        <v>24</v>
      </c>
    </row>
    <row r="318" customFormat="1" spans="1:8">
      <c r="A318" s="2">
        <v>46159</v>
      </c>
      <c r="B318" s="3">
        <v>1603858</v>
      </c>
      <c r="C318" s="3" t="s">
        <v>151</v>
      </c>
      <c r="D318" s="4">
        <v>20329846</v>
      </c>
      <c r="E318" s="3" t="s">
        <v>90</v>
      </c>
      <c r="F318" s="4">
        <v>3</v>
      </c>
      <c r="G318" s="5">
        <v>13.5</v>
      </c>
      <c r="H318" s="5">
        <f t="shared" si="4"/>
        <v>40.5</v>
      </c>
    </row>
    <row r="319" customFormat="1" spans="1:8">
      <c r="A319" s="2">
        <v>46159</v>
      </c>
      <c r="B319" s="3">
        <v>1603858</v>
      </c>
      <c r="C319" s="3" t="s">
        <v>151</v>
      </c>
      <c r="D319" s="4">
        <v>20318236</v>
      </c>
      <c r="E319" s="3" t="s">
        <v>91</v>
      </c>
      <c r="F319" s="4">
        <v>1</v>
      </c>
      <c r="G319" s="5">
        <v>11</v>
      </c>
      <c r="H319" s="5">
        <f t="shared" si="4"/>
        <v>11</v>
      </c>
    </row>
    <row r="320" customFormat="1" spans="1:8">
      <c r="A320" s="2">
        <v>46159</v>
      </c>
      <c r="B320" s="3">
        <v>1603858</v>
      </c>
      <c r="C320" s="3" t="s">
        <v>151</v>
      </c>
      <c r="D320" s="4">
        <v>20318254</v>
      </c>
      <c r="E320" s="3" t="s">
        <v>139</v>
      </c>
      <c r="F320" s="4">
        <v>2</v>
      </c>
      <c r="G320" s="5">
        <v>16.5</v>
      </c>
      <c r="H320" s="5">
        <f t="shared" si="4"/>
        <v>33</v>
      </c>
    </row>
    <row r="321" customFormat="1" spans="1:8">
      <c r="A321" s="2">
        <v>46159</v>
      </c>
      <c r="B321" s="3">
        <v>1603858</v>
      </c>
      <c r="C321" s="3" t="s">
        <v>151</v>
      </c>
      <c r="D321" s="4">
        <v>20331472</v>
      </c>
      <c r="E321" s="3" t="s">
        <v>141</v>
      </c>
      <c r="F321" s="4">
        <v>1</v>
      </c>
      <c r="G321" s="5">
        <v>8</v>
      </c>
      <c r="H321" s="5">
        <f t="shared" si="4"/>
        <v>8</v>
      </c>
    </row>
    <row r="322" customFormat="1" spans="1:8">
      <c r="A322" s="2">
        <v>46159</v>
      </c>
      <c r="B322" s="3">
        <v>1603858</v>
      </c>
      <c r="C322" s="3" t="s">
        <v>153</v>
      </c>
      <c r="D322" s="4">
        <v>20329844</v>
      </c>
      <c r="E322" s="3" t="s">
        <v>70</v>
      </c>
      <c r="F322" s="4">
        <v>1</v>
      </c>
      <c r="G322" s="5">
        <v>16.5</v>
      </c>
      <c r="H322" s="5">
        <f t="shared" ref="H322:H385" si="5">G322*F322</f>
        <v>16.5</v>
      </c>
    </row>
    <row r="323" customFormat="1" spans="1:8">
      <c r="A323" s="2">
        <v>46160</v>
      </c>
      <c r="B323" s="3">
        <v>1603912</v>
      </c>
      <c r="C323" s="3" t="s">
        <v>150</v>
      </c>
      <c r="D323" s="4">
        <v>20326613</v>
      </c>
      <c r="E323" s="3" t="s">
        <v>78</v>
      </c>
      <c r="F323" s="4">
        <v>15</v>
      </c>
      <c r="G323" s="5">
        <v>88</v>
      </c>
      <c r="H323" s="5">
        <f t="shared" si="5"/>
        <v>1320</v>
      </c>
    </row>
    <row r="324" customFormat="1" spans="1:8">
      <c r="A324" s="2">
        <v>46160</v>
      </c>
      <c r="B324" s="3">
        <v>1603912</v>
      </c>
      <c r="C324" s="3" t="s">
        <v>150</v>
      </c>
      <c r="D324" s="4">
        <v>20318156</v>
      </c>
      <c r="E324" s="3" t="s">
        <v>112</v>
      </c>
      <c r="F324" s="4">
        <v>1</v>
      </c>
      <c r="G324" s="5">
        <v>154</v>
      </c>
      <c r="H324" s="5">
        <f t="shared" si="5"/>
        <v>154</v>
      </c>
    </row>
    <row r="325" customFormat="1" spans="1:8">
      <c r="A325" s="2">
        <v>46160</v>
      </c>
      <c r="B325" s="3">
        <v>1603912</v>
      </c>
      <c r="C325" s="3" t="s">
        <v>151</v>
      </c>
      <c r="D325" s="4">
        <v>20329846</v>
      </c>
      <c r="E325" s="3" t="s">
        <v>90</v>
      </c>
      <c r="F325" s="4">
        <v>1</v>
      </c>
      <c r="G325" s="5">
        <v>13.5</v>
      </c>
      <c r="H325" s="5">
        <f t="shared" si="5"/>
        <v>13.5</v>
      </c>
    </row>
    <row r="326" customFormat="1" spans="1:8">
      <c r="A326" s="2">
        <v>46160</v>
      </c>
      <c r="B326" s="3">
        <v>1603912</v>
      </c>
      <c r="C326" s="3" t="s">
        <v>151</v>
      </c>
      <c r="D326" s="4">
        <v>20331668</v>
      </c>
      <c r="E326" s="3" t="s">
        <v>115</v>
      </c>
      <c r="F326" s="4">
        <v>1</v>
      </c>
      <c r="G326" s="5">
        <v>8</v>
      </c>
      <c r="H326" s="5">
        <f t="shared" si="5"/>
        <v>8</v>
      </c>
    </row>
    <row r="327" customFormat="1" spans="1:8">
      <c r="A327" s="2">
        <v>46160</v>
      </c>
      <c r="B327" s="3">
        <v>1603912</v>
      </c>
      <c r="C327" s="3" t="s">
        <v>151</v>
      </c>
      <c r="D327" s="4">
        <v>20329847</v>
      </c>
      <c r="E327" s="3" t="s">
        <v>129</v>
      </c>
      <c r="F327" s="4">
        <v>1</v>
      </c>
      <c r="G327" s="5">
        <v>13</v>
      </c>
      <c r="H327" s="5">
        <f t="shared" si="5"/>
        <v>13</v>
      </c>
    </row>
    <row r="328" customFormat="1" spans="1:8">
      <c r="A328" s="2">
        <v>46160</v>
      </c>
      <c r="B328" s="3">
        <v>1603912</v>
      </c>
      <c r="C328" s="3" t="s">
        <v>151</v>
      </c>
      <c r="D328" s="4">
        <v>20318231</v>
      </c>
      <c r="E328" s="3" t="s">
        <v>130</v>
      </c>
      <c r="F328" s="4">
        <v>3</v>
      </c>
      <c r="G328" s="5">
        <v>16.5</v>
      </c>
      <c r="H328" s="5">
        <f t="shared" si="5"/>
        <v>49.5</v>
      </c>
    </row>
    <row r="329" customFormat="1" spans="1:8">
      <c r="A329" s="2">
        <v>46160</v>
      </c>
      <c r="B329" s="3">
        <v>1603912</v>
      </c>
      <c r="C329" s="3" t="s">
        <v>151</v>
      </c>
      <c r="D329" s="4">
        <v>20318254</v>
      </c>
      <c r="E329" s="3" t="s">
        <v>139</v>
      </c>
      <c r="F329" s="4">
        <v>1</v>
      </c>
      <c r="G329" s="5">
        <v>16.5</v>
      </c>
      <c r="H329" s="5">
        <f t="shared" si="5"/>
        <v>16.5</v>
      </c>
    </row>
    <row r="330" customFormat="1" spans="1:8">
      <c r="A330" s="2">
        <v>46160</v>
      </c>
      <c r="B330" s="3">
        <v>1603912</v>
      </c>
      <c r="C330" s="3" t="s">
        <v>155</v>
      </c>
      <c r="D330" s="4">
        <v>20322228</v>
      </c>
      <c r="E330" s="3" t="s">
        <v>74</v>
      </c>
      <c r="F330" s="4">
        <v>1</v>
      </c>
      <c r="G330" s="5">
        <v>15</v>
      </c>
      <c r="H330" s="5">
        <f t="shared" si="5"/>
        <v>15</v>
      </c>
    </row>
    <row r="331" customFormat="1" spans="1:8">
      <c r="A331" s="2">
        <v>46160</v>
      </c>
      <c r="B331" s="3">
        <v>1603912</v>
      </c>
      <c r="C331" s="3" t="s">
        <v>153</v>
      </c>
      <c r="D331" s="4">
        <v>20321257</v>
      </c>
      <c r="E331" s="3" t="s">
        <v>68</v>
      </c>
      <c r="F331" s="4">
        <v>3</v>
      </c>
      <c r="G331" s="5">
        <v>16.5</v>
      </c>
      <c r="H331" s="5">
        <f t="shared" si="5"/>
        <v>49.5</v>
      </c>
    </row>
    <row r="332" customFormat="1" spans="1:8">
      <c r="A332" s="2">
        <v>46160</v>
      </c>
      <c r="B332" s="3">
        <v>1603912</v>
      </c>
      <c r="C332" s="3" t="s">
        <v>153</v>
      </c>
      <c r="D332" s="4">
        <v>20318262</v>
      </c>
      <c r="E332" s="3" t="s">
        <v>77</v>
      </c>
      <c r="F332" s="4">
        <v>3</v>
      </c>
      <c r="G332" s="5">
        <v>16.5</v>
      </c>
      <c r="H332" s="5">
        <f t="shared" si="5"/>
        <v>49.5</v>
      </c>
    </row>
    <row r="333" customFormat="1" spans="1:8">
      <c r="A333" s="14">
        <v>46160</v>
      </c>
      <c r="B333" s="15">
        <v>1603912</v>
      </c>
      <c r="C333" s="15" t="s">
        <v>153</v>
      </c>
      <c r="D333" s="16">
        <v>20014827</v>
      </c>
      <c r="E333" s="15" t="s">
        <v>84</v>
      </c>
      <c r="F333" s="16">
        <v>1</v>
      </c>
      <c r="G333" s="17">
        <v>16.5</v>
      </c>
      <c r="H333" s="17">
        <f t="shared" si="5"/>
        <v>16.5</v>
      </c>
    </row>
    <row r="334" customFormat="1" spans="1:8">
      <c r="A334" s="14">
        <v>46160</v>
      </c>
      <c r="B334" s="15">
        <v>1603912</v>
      </c>
      <c r="C334" s="15" t="s">
        <v>153</v>
      </c>
      <c r="D334" s="16">
        <v>20014824</v>
      </c>
      <c r="E334" s="15" t="s">
        <v>85</v>
      </c>
      <c r="F334" s="16">
        <v>2</v>
      </c>
      <c r="G334" s="17">
        <v>16.5</v>
      </c>
      <c r="H334" s="17">
        <f t="shared" si="5"/>
        <v>33</v>
      </c>
    </row>
    <row r="335" customFormat="1" spans="1:8">
      <c r="A335" s="2">
        <v>46160</v>
      </c>
      <c r="B335" s="3">
        <v>1603912</v>
      </c>
      <c r="C335" s="3" t="s">
        <v>153</v>
      </c>
      <c r="D335" s="4">
        <v>20342042</v>
      </c>
      <c r="E335" s="3" t="s">
        <v>131</v>
      </c>
      <c r="F335" s="4">
        <v>2</v>
      </c>
      <c r="G335" s="5">
        <v>16.5</v>
      </c>
      <c r="H335" s="5">
        <f t="shared" si="5"/>
        <v>33</v>
      </c>
    </row>
    <row r="336" customFormat="1" spans="1:8">
      <c r="A336" s="2">
        <v>46160</v>
      </c>
      <c r="B336" s="3">
        <v>1603912</v>
      </c>
      <c r="C336" s="3" t="s">
        <v>153</v>
      </c>
      <c r="D336" s="4">
        <v>20318393</v>
      </c>
      <c r="E336" s="3" t="s">
        <v>140</v>
      </c>
      <c r="F336" s="4">
        <v>1</v>
      </c>
      <c r="G336" s="5">
        <v>16.5</v>
      </c>
      <c r="H336" s="5">
        <f t="shared" si="5"/>
        <v>16.5</v>
      </c>
    </row>
    <row r="337" customFormat="1" spans="1:8">
      <c r="A337" s="2">
        <v>46160</v>
      </c>
      <c r="B337" s="3">
        <v>1603950</v>
      </c>
      <c r="C337" s="3" t="s">
        <v>153</v>
      </c>
      <c r="D337" s="4">
        <v>20318197</v>
      </c>
      <c r="E337" s="3" t="s">
        <v>119</v>
      </c>
      <c r="F337" s="4">
        <v>2</v>
      </c>
      <c r="G337" s="5">
        <v>16.5</v>
      </c>
      <c r="H337" s="5">
        <f t="shared" si="5"/>
        <v>33</v>
      </c>
    </row>
    <row r="338" customFormat="1" spans="1:8">
      <c r="A338" s="2">
        <v>46160</v>
      </c>
      <c r="B338" s="3">
        <v>1604038</v>
      </c>
      <c r="C338" s="3" t="s">
        <v>150</v>
      </c>
      <c r="D338" s="4">
        <v>20312951</v>
      </c>
      <c r="E338" s="3" t="s">
        <v>121</v>
      </c>
      <c r="F338" s="4">
        <v>1</v>
      </c>
      <c r="G338" s="5">
        <v>165</v>
      </c>
      <c r="H338" s="5">
        <f t="shared" si="5"/>
        <v>165</v>
      </c>
    </row>
    <row r="339" customFormat="1" spans="1:8">
      <c r="A339" s="2">
        <v>46160</v>
      </c>
      <c r="B339" s="3">
        <v>1604038</v>
      </c>
      <c r="C339" s="3" t="s">
        <v>154</v>
      </c>
      <c r="D339" s="4">
        <v>20328192</v>
      </c>
      <c r="E339" s="3" t="s">
        <v>75</v>
      </c>
      <c r="F339" s="4">
        <v>1</v>
      </c>
      <c r="G339" s="5">
        <v>38.5</v>
      </c>
      <c r="H339" s="5">
        <f t="shared" si="5"/>
        <v>38.5</v>
      </c>
    </row>
    <row r="340" customFormat="1" spans="1:8">
      <c r="A340" s="2">
        <v>46160</v>
      </c>
      <c r="B340" s="3">
        <v>1604038</v>
      </c>
      <c r="C340" s="3" t="s">
        <v>151</v>
      </c>
      <c r="D340" s="4">
        <v>20329847</v>
      </c>
      <c r="E340" s="3" t="s">
        <v>129</v>
      </c>
      <c r="F340" s="4">
        <v>1</v>
      </c>
      <c r="G340" s="5">
        <v>13</v>
      </c>
      <c r="H340" s="5">
        <f t="shared" si="5"/>
        <v>13</v>
      </c>
    </row>
    <row r="341" customFormat="1" spans="1:8">
      <c r="A341" s="2">
        <v>46160</v>
      </c>
      <c r="B341" s="3">
        <v>1604038</v>
      </c>
      <c r="C341" s="3" t="s">
        <v>153</v>
      </c>
      <c r="D341" s="4">
        <v>20321468</v>
      </c>
      <c r="E341" s="3" t="s">
        <v>89</v>
      </c>
      <c r="F341" s="4">
        <v>1</v>
      </c>
      <c r="G341" s="5">
        <v>16.5</v>
      </c>
      <c r="H341" s="5">
        <f t="shared" si="5"/>
        <v>16.5</v>
      </c>
    </row>
    <row r="342" customFormat="1" spans="1:8">
      <c r="A342" s="2">
        <v>46160</v>
      </c>
      <c r="B342" s="3">
        <v>1604049</v>
      </c>
      <c r="C342" s="3" t="s">
        <v>150</v>
      </c>
      <c r="D342" s="4">
        <v>20326613</v>
      </c>
      <c r="E342" s="3" t="s">
        <v>78</v>
      </c>
      <c r="F342" s="4">
        <v>2</v>
      </c>
      <c r="G342" s="5">
        <v>88</v>
      </c>
      <c r="H342" s="5">
        <f t="shared" si="5"/>
        <v>176</v>
      </c>
    </row>
    <row r="343" customFormat="1" spans="1:8">
      <c r="A343" s="2">
        <v>46160</v>
      </c>
      <c r="B343" s="3">
        <v>1604049</v>
      </c>
      <c r="C343" s="3" t="s">
        <v>154</v>
      </c>
      <c r="D343" s="4">
        <v>20328192</v>
      </c>
      <c r="E343" s="3" t="s">
        <v>75</v>
      </c>
      <c r="F343" s="4">
        <v>1</v>
      </c>
      <c r="G343" s="5">
        <v>38.5</v>
      </c>
      <c r="H343" s="5">
        <f t="shared" si="5"/>
        <v>38.5</v>
      </c>
    </row>
    <row r="344" customFormat="1" spans="1:8">
      <c r="A344" s="2">
        <v>46160</v>
      </c>
      <c r="B344" s="3">
        <v>1604049</v>
      </c>
      <c r="C344" s="3" t="s">
        <v>153</v>
      </c>
      <c r="D344" s="4">
        <v>20318262</v>
      </c>
      <c r="E344" s="3" t="s">
        <v>77</v>
      </c>
      <c r="F344" s="4">
        <v>2</v>
      </c>
      <c r="G344" s="5">
        <v>16.5</v>
      </c>
      <c r="H344" s="5">
        <f t="shared" si="5"/>
        <v>33</v>
      </c>
    </row>
    <row r="345" customFormat="1" spans="1:8">
      <c r="A345" s="2">
        <v>46160</v>
      </c>
      <c r="B345" s="3">
        <v>1604109</v>
      </c>
      <c r="C345" s="3" t="s">
        <v>150</v>
      </c>
      <c r="D345" s="4">
        <v>20328374</v>
      </c>
      <c r="E345" s="3" t="s">
        <v>72</v>
      </c>
      <c r="F345" s="4">
        <v>1</v>
      </c>
      <c r="G345" s="5">
        <v>264</v>
      </c>
      <c r="H345" s="5">
        <f t="shared" si="5"/>
        <v>264</v>
      </c>
    </row>
    <row r="346" customFormat="1" spans="1:8">
      <c r="A346" s="2">
        <v>46160</v>
      </c>
      <c r="B346" s="3">
        <v>1604109</v>
      </c>
      <c r="C346" s="3" t="s">
        <v>150</v>
      </c>
      <c r="D346" s="4">
        <v>20326613</v>
      </c>
      <c r="E346" s="3" t="s">
        <v>78</v>
      </c>
      <c r="F346" s="4">
        <v>1</v>
      </c>
      <c r="G346" s="5">
        <v>88</v>
      </c>
      <c r="H346" s="5">
        <f t="shared" si="5"/>
        <v>88</v>
      </c>
    </row>
    <row r="347" customFormat="1" spans="1:8">
      <c r="A347" s="2">
        <v>46160</v>
      </c>
      <c r="B347" s="3">
        <v>1604109</v>
      </c>
      <c r="C347" s="3" t="s">
        <v>150</v>
      </c>
      <c r="D347" s="4">
        <v>20328375</v>
      </c>
      <c r="E347" s="3" t="s">
        <v>109</v>
      </c>
      <c r="F347" s="4">
        <v>1</v>
      </c>
      <c r="G347" s="5">
        <v>170.5</v>
      </c>
      <c r="H347" s="5">
        <f t="shared" si="5"/>
        <v>170.5</v>
      </c>
    </row>
    <row r="348" customFormat="1" spans="1:8">
      <c r="A348" s="2">
        <v>46160</v>
      </c>
      <c r="B348" s="3">
        <v>1604109</v>
      </c>
      <c r="C348" s="3" t="s">
        <v>151</v>
      </c>
      <c r="D348" s="4">
        <v>20318247</v>
      </c>
      <c r="E348" s="3" t="s">
        <v>69</v>
      </c>
      <c r="F348" s="4">
        <v>1</v>
      </c>
      <c r="G348" s="5">
        <v>8</v>
      </c>
      <c r="H348" s="5">
        <f t="shared" si="5"/>
        <v>8</v>
      </c>
    </row>
    <row r="349" customFormat="1" spans="1:8">
      <c r="A349" s="2">
        <v>46160</v>
      </c>
      <c r="B349" s="3">
        <v>1604109</v>
      </c>
      <c r="C349" s="3" t="s">
        <v>151</v>
      </c>
      <c r="D349" s="4">
        <v>20329843</v>
      </c>
      <c r="E349" s="3" t="s">
        <v>92</v>
      </c>
      <c r="F349" s="4">
        <v>1</v>
      </c>
      <c r="G349" s="5">
        <v>11</v>
      </c>
      <c r="H349" s="5">
        <f t="shared" si="5"/>
        <v>11</v>
      </c>
    </row>
    <row r="350" customFormat="1" spans="1:8">
      <c r="A350" s="2">
        <v>46160</v>
      </c>
      <c r="B350" s="3">
        <v>1604109</v>
      </c>
      <c r="C350" s="3" t="s">
        <v>152</v>
      </c>
      <c r="D350" s="4">
        <v>20328892</v>
      </c>
      <c r="E350" s="3" t="s">
        <v>107</v>
      </c>
      <c r="F350" s="4">
        <v>1</v>
      </c>
      <c r="G350" s="5">
        <v>88</v>
      </c>
      <c r="H350" s="5">
        <f t="shared" si="5"/>
        <v>88</v>
      </c>
    </row>
    <row r="351" customFormat="1" spans="1:8">
      <c r="A351" s="2">
        <v>46160</v>
      </c>
      <c r="B351" s="3">
        <v>1604109</v>
      </c>
      <c r="C351" s="3" t="s">
        <v>153</v>
      </c>
      <c r="D351" s="4">
        <v>20321257</v>
      </c>
      <c r="E351" s="3" t="s">
        <v>68</v>
      </c>
      <c r="F351" s="4">
        <v>1</v>
      </c>
      <c r="G351" s="5">
        <v>16.5</v>
      </c>
      <c r="H351" s="5">
        <f t="shared" si="5"/>
        <v>16.5</v>
      </c>
    </row>
    <row r="352" customFormat="1" spans="1:8">
      <c r="A352" s="2">
        <v>46160</v>
      </c>
      <c r="B352" s="3">
        <v>1604109</v>
      </c>
      <c r="C352" s="3" t="s">
        <v>153</v>
      </c>
      <c r="D352" s="4">
        <v>20318262</v>
      </c>
      <c r="E352" s="3" t="s">
        <v>77</v>
      </c>
      <c r="F352" s="4">
        <v>1</v>
      </c>
      <c r="G352" s="5">
        <v>16.5</v>
      </c>
      <c r="H352" s="5">
        <f t="shared" si="5"/>
        <v>16.5</v>
      </c>
    </row>
    <row r="353" customFormat="1" spans="1:8">
      <c r="A353" s="2">
        <v>46161</v>
      </c>
      <c r="B353" s="3">
        <v>1604358</v>
      </c>
      <c r="C353" s="3" t="s">
        <v>150</v>
      </c>
      <c r="D353" s="4">
        <v>20326613</v>
      </c>
      <c r="E353" s="3" t="s">
        <v>78</v>
      </c>
      <c r="F353" s="4">
        <v>8</v>
      </c>
      <c r="G353" s="5">
        <v>88</v>
      </c>
      <c r="H353" s="5">
        <f t="shared" si="5"/>
        <v>704</v>
      </c>
    </row>
    <row r="354" customFormat="1" spans="1:8">
      <c r="A354" s="2">
        <v>46161</v>
      </c>
      <c r="B354" s="3">
        <v>1604358</v>
      </c>
      <c r="C354" s="3" t="s">
        <v>150</v>
      </c>
      <c r="D354" s="4">
        <v>20377845</v>
      </c>
      <c r="E354" s="3" t="s">
        <v>106</v>
      </c>
      <c r="F354" s="4">
        <v>1</v>
      </c>
      <c r="G354" s="5">
        <v>66</v>
      </c>
      <c r="H354" s="5">
        <f t="shared" si="5"/>
        <v>66</v>
      </c>
    </row>
    <row r="355" customFormat="1" spans="1:8">
      <c r="A355" s="2">
        <v>46161</v>
      </c>
      <c r="B355" s="3">
        <v>1604358</v>
      </c>
      <c r="C355" s="3" t="s">
        <v>150</v>
      </c>
      <c r="D355" s="4">
        <v>20318156</v>
      </c>
      <c r="E355" s="3" t="s">
        <v>112</v>
      </c>
      <c r="F355" s="4">
        <v>1</v>
      </c>
      <c r="G355" s="5">
        <v>154</v>
      </c>
      <c r="H355" s="5">
        <f t="shared" si="5"/>
        <v>154</v>
      </c>
    </row>
    <row r="356" customFormat="1" spans="1:8">
      <c r="A356" s="2">
        <v>46161</v>
      </c>
      <c r="B356" s="3">
        <v>1604358</v>
      </c>
      <c r="C356" s="3" t="s">
        <v>151</v>
      </c>
      <c r="D356" s="4">
        <v>20329846</v>
      </c>
      <c r="E356" s="3" t="s">
        <v>90</v>
      </c>
      <c r="F356" s="4">
        <v>1</v>
      </c>
      <c r="G356" s="5">
        <v>13.5</v>
      </c>
      <c r="H356" s="5">
        <f t="shared" si="5"/>
        <v>13.5</v>
      </c>
    </row>
    <row r="357" customFormat="1" spans="1:8">
      <c r="A357" s="2">
        <v>46161</v>
      </c>
      <c r="B357" s="3">
        <v>1604358</v>
      </c>
      <c r="C357" s="3" t="s">
        <v>151</v>
      </c>
      <c r="D357" s="4">
        <v>20329847</v>
      </c>
      <c r="E357" s="3" t="s">
        <v>129</v>
      </c>
      <c r="F357" s="4">
        <v>3</v>
      </c>
      <c r="G357" s="5">
        <v>13</v>
      </c>
      <c r="H357" s="5">
        <f t="shared" si="5"/>
        <v>39</v>
      </c>
    </row>
    <row r="358" customFormat="1" spans="1:8">
      <c r="A358" s="2">
        <v>46161</v>
      </c>
      <c r="B358" s="3">
        <v>1604358</v>
      </c>
      <c r="C358" s="3" t="s">
        <v>151</v>
      </c>
      <c r="D358" s="4">
        <v>20333142</v>
      </c>
      <c r="E358" s="3" t="s">
        <v>138</v>
      </c>
      <c r="F358" s="4">
        <v>1</v>
      </c>
      <c r="G358" s="5">
        <v>22</v>
      </c>
      <c r="H358" s="5">
        <f t="shared" si="5"/>
        <v>22</v>
      </c>
    </row>
    <row r="359" customFormat="1" spans="1:8">
      <c r="A359" s="2">
        <v>46161</v>
      </c>
      <c r="B359" s="3">
        <v>1604358</v>
      </c>
      <c r="C359" s="3" t="s">
        <v>155</v>
      </c>
      <c r="D359" s="4">
        <v>20322228</v>
      </c>
      <c r="E359" s="3" t="s">
        <v>74</v>
      </c>
      <c r="F359" s="4">
        <v>1</v>
      </c>
      <c r="G359" s="5">
        <v>15</v>
      </c>
      <c r="H359" s="5">
        <f t="shared" si="5"/>
        <v>15</v>
      </c>
    </row>
    <row r="360" customFormat="1" spans="1:8">
      <c r="A360" s="2">
        <v>46161</v>
      </c>
      <c r="B360" s="3">
        <v>1604358</v>
      </c>
      <c r="C360" s="3" t="s">
        <v>152</v>
      </c>
      <c r="D360" s="4">
        <v>20394933</v>
      </c>
      <c r="E360" s="3" t="s">
        <v>105</v>
      </c>
      <c r="F360" s="4">
        <v>1</v>
      </c>
      <c r="G360" s="5">
        <v>66</v>
      </c>
      <c r="H360" s="5">
        <f t="shared" si="5"/>
        <v>66</v>
      </c>
    </row>
    <row r="361" customFormat="1" spans="1:8">
      <c r="A361" s="2">
        <v>46161</v>
      </c>
      <c r="B361" s="3">
        <v>1604358</v>
      </c>
      <c r="C361" s="3" t="s">
        <v>153</v>
      </c>
      <c r="D361" s="4">
        <v>20321257</v>
      </c>
      <c r="E361" s="3" t="s">
        <v>68</v>
      </c>
      <c r="F361" s="4">
        <v>4</v>
      </c>
      <c r="G361" s="5">
        <v>16.5</v>
      </c>
      <c r="H361" s="5">
        <f t="shared" si="5"/>
        <v>66</v>
      </c>
    </row>
    <row r="362" customFormat="1" spans="1:8">
      <c r="A362" s="2">
        <v>46161</v>
      </c>
      <c r="B362" s="3">
        <v>1604358</v>
      </c>
      <c r="C362" s="3" t="s">
        <v>153</v>
      </c>
      <c r="D362" s="4">
        <v>20318375</v>
      </c>
      <c r="E362" s="3" t="s">
        <v>81</v>
      </c>
      <c r="F362" s="4">
        <v>1</v>
      </c>
      <c r="G362" s="5">
        <v>16.5</v>
      </c>
      <c r="H362" s="5">
        <f t="shared" si="5"/>
        <v>16.5</v>
      </c>
    </row>
    <row r="363" customFormat="1" spans="1:8">
      <c r="A363" s="14">
        <v>46161</v>
      </c>
      <c r="B363" s="15">
        <v>1604358</v>
      </c>
      <c r="C363" s="15" t="s">
        <v>153</v>
      </c>
      <c r="D363" s="16">
        <v>20014827</v>
      </c>
      <c r="E363" s="15" t="s">
        <v>84</v>
      </c>
      <c r="F363" s="16">
        <v>1</v>
      </c>
      <c r="G363" s="17">
        <v>16.5</v>
      </c>
      <c r="H363" s="17">
        <f t="shared" si="5"/>
        <v>16.5</v>
      </c>
    </row>
    <row r="364" customFormat="1" spans="1:8">
      <c r="A364" s="14">
        <v>46161</v>
      </c>
      <c r="B364" s="15">
        <v>1604358</v>
      </c>
      <c r="C364" s="15" t="s">
        <v>153</v>
      </c>
      <c r="D364" s="16">
        <v>20014824</v>
      </c>
      <c r="E364" s="15" t="s">
        <v>85</v>
      </c>
      <c r="F364" s="16">
        <v>1</v>
      </c>
      <c r="G364" s="17">
        <v>16.5</v>
      </c>
      <c r="H364" s="17">
        <f t="shared" si="5"/>
        <v>16.5</v>
      </c>
    </row>
    <row r="365" customFormat="1" spans="1:8">
      <c r="A365" s="2">
        <v>46161</v>
      </c>
      <c r="B365" s="3">
        <v>1604358</v>
      </c>
      <c r="C365" s="3" t="s">
        <v>153</v>
      </c>
      <c r="D365" s="4">
        <v>20342042</v>
      </c>
      <c r="E365" s="3" t="s">
        <v>131</v>
      </c>
      <c r="F365" s="4">
        <v>1</v>
      </c>
      <c r="G365" s="5">
        <v>16.5</v>
      </c>
      <c r="H365" s="5">
        <f t="shared" si="5"/>
        <v>16.5</v>
      </c>
    </row>
    <row r="366" customFormat="1" spans="1:8">
      <c r="A366" s="2">
        <v>46161</v>
      </c>
      <c r="B366" s="3">
        <v>1604358</v>
      </c>
      <c r="C366" s="3" t="s">
        <v>153</v>
      </c>
      <c r="D366" s="4">
        <v>20318393</v>
      </c>
      <c r="E366" s="3" t="s">
        <v>140</v>
      </c>
      <c r="F366" s="4">
        <v>1</v>
      </c>
      <c r="G366" s="5">
        <v>16.5</v>
      </c>
      <c r="H366" s="5">
        <f t="shared" si="5"/>
        <v>16.5</v>
      </c>
    </row>
    <row r="367" customFormat="1" spans="1:8">
      <c r="A367" s="2">
        <v>46161</v>
      </c>
      <c r="B367" s="3">
        <v>1604465</v>
      </c>
      <c r="C367" s="3" t="s">
        <v>150</v>
      </c>
      <c r="D367" s="4">
        <v>20326613</v>
      </c>
      <c r="E367" s="3" t="s">
        <v>78</v>
      </c>
      <c r="F367" s="4">
        <v>4</v>
      </c>
      <c r="G367" s="5">
        <v>88</v>
      </c>
      <c r="H367" s="5">
        <f t="shared" si="5"/>
        <v>352</v>
      </c>
    </row>
    <row r="368" customFormat="1" spans="1:8">
      <c r="A368" s="2">
        <v>46161</v>
      </c>
      <c r="B368" s="3">
        <v>1604465</v>
      </c>
      <c r="C368" s="3" t="s">
        <v>150</v>
      </c>
      <c r="D368" s="4">
        <v>20318094</v>
      </c>
      <c r="E368" s="3" t="s">
        <v>102</v>
      </c>
      <c r="F368" s="4">
        <v>1</v>
      </c>
      <c r="G368" s="5">
        <v>148.5</v>
      </c>
      <c r="H368" s="5">
        <f t="shared" si="5"/>
        <v>148.5</v>
      </c>
    </row>
    <row r="369" customFormat="1" spans="1:8">
      <c r="A369" s="2">
        <v>46161</v>
      </c>
      <c r="B369" s="3">
        <v>1604465</v>
      </c>
      <c r="C369" s="3" t="s">
        <v>150</v>
      </c>
      <c r="D369" s="4">
        <v>20312951</v>
      </c>
      <c r="E369" s="3" t="s">
        <v>121</v>
      </c>
      <c r="F369" s="4">
        <v>1</v>
      </c>
      <c r="G369" s="5">
        <v>165</v>
      </c>
      <c r="H369" s="5">
        <f t="shared" si="5"/>
        <v>165</v>
      </c>
    </row>
    <row r="370" customFormat="1" spans="1:8">
      <c r="A370" s="2">
        <v>46161</v>
      </c>
      <c r="B370" s="3">
        <v>1604465</v>
      </c>
      <c r="C370" s="3" t="s">
        <v>151</v>
      </c>
      <c r="D370" s="4">
        <v>20329846</v>
      </c>
      <c r="E370" s="3" t="s">
        <v>90</v>
      </c>
      <c r="F370" s="4">
        <v>1</v>
      </c>
      <c r="G370" s="5">
        <v>13.5</v>
      </c>
      <c r="H370" s="5">
        <f t="shared" si="5"/>
        <v>13.5</v>
      </c>
    </row>
    <row r="371" customFormat="1" spans="1:8">
      <c r="A371" s="2">
        <v>46161</v>
      </c>
      <c r="B371" s="3">
        <v>1604465</v>
      </c>
      <c r="C371" s="3" t="s">
        <v>151</v>
      </c>
      <c r="D371" s="4">
        <v>20329843</v>
      </c>
      <c r="E371" s="3" t="s">
        <v>92</v>
      </c>
      <c r="F371" s="4">
        <v>1</v>
      </c>
      <c r="G371" s="5">
        <v>11</v>
      </c>
      <c r="H371" s="5">
        <f t="shared" si="5"/>
        <v>11</v>
      </c>
    </row>
    <row r="372" customFormat="1" spans="1:8">
      <c r="A372" s="2">
        <v>46161</v>
      </c>
      <c r="B372" s="3">
        <v>1604465</v>
      </c>
      <c r="C372" s="3" t="s">
        <v>151</v>
      </c>
      <c r="D372" s="4">
        <v>20318250</v>
      </c>
      <c r="E372" s="3" t="s">
        <v>113</v>
      </c>
      <c r="F372" s="4">
        <v>1</v>
      </c>
      <c r="G372" s="5">
        <v>8</v>
      </c>
      <c r="H372" s="5">
        <f t="shared" si="5"/>
        <v>8</v>
      </c>
    </row>
    <row r="373" customFormat="1" spans="1:8">
      <c r="A373" s="2">
        <v>46161</v>
      </c>
      <c r="B373" s="3">
        <v>1604465</v>
      </c>
      <c r="C373" s="3" t="s">
        <v>151</v>
      </c>
      <c r="D373" s="4">
        <v>20340545</v>
      </c>
      <c r="E373" s="3" t="s">
        <v>118</v>
      </c>
      <c r="F373" s="4">
        <v>2</v>
      </c>
      <c r="G373" s="5">
        <v>11</v>
      </c>
      <c r="H373" s="5">
        <f t="shared" si="5"/>
        <v>22</v>
      </c>
    </row>
    <row r="374" customFormat="1" spans="1:8">
      <c r="A374" s="2">
        <v>46161</v>
      </c>
      <c r="B374" s="3">
        <v>1604465</v>
      </c>
      <c r="C374" s="3" t="s">
        <v>151</v>
      </c>
      <c r="D374" s="4">
        <v>20329847</v>
      </c>
      <c r="E374" s="3" t="s">
        <v>129</v>
      </c>
      <c r="F374" s="4">
        <v>3</v>
      </c>
      <c r="G374" s="5">
        <v>13</v>
      </c>
      <c r="H374" s="5">
        <f t="shared" si="5"/>
        <v>39</v>
      </c>
    </row>
    <row r="375" customFormat="1" spans="1:8">
      <c r="A375" s="2">
        <v>46161</v>
      </c>
      <c r="B375" s="3">
        <v>1604465</v>
      </c>
      <c r="C375" s="3" t="s">
        <v>152</v>
      </c>
      <c r="D375" s="4">
        <v>20351811</v>
      </c>
      <c r="E375" s="3" t="s">
        <v>110</v>
      </c>
      <c r="F375" s="4">
        <v>1</v>
      </c>
      <c r="G375" s="5">
        <v>55</v>
      </c>
      <c r="H375" s="5">
        <f t="shared" si="5"/>
        <v>55</v>
      </c>
    </row>
    <row r="376" customFormat="1" spans="1:8">
      <c r="A376" s="2">
        <v>46161</v>
      </c>
      <c r="B376" s="3">
        <v>1604465</v>
      </c>
      <c r="C376" s="3" t="s">
        <v>153</v>
      </c>
      <c r="D376" s="4">
        <v>20318262</v>
      </c>
      <c r="E376" s="3" t="s">
        <v>77</v>
      </c>
      <c r="F376" s="4">
        <v>3</v>
      </c>
      <c r="G376" s="5">
        <v>16.5</v>
      </c>
      <c r="H376" s="5">
        <f t="shared" si="5"/>
        <v>49.5</v>
      </c>
    </row>
    <row r="377" customFormat="1" spans="1:8">
      <c r="A377" s="2">
        <v>46161</v>
      </c>
      <c r="B377" s="3">
        <v>1604465</v>
      </c>
      <c r="C377" s="3" t="s">
        <v>153</v>
      </c>
      <c r="D377" s="4">
        <v>20321468</v>
      </c>
      <c r="E377" s="3" t="s">
        <v>89</v>
      </c>
      <c r="F377" s="4">
        <v>1</v>
      </c>
      <c r="G377" s="5">
        <v>16.5</v>
      </c>
      <c r="H377" s="5">
        <f t="shared" si="5"/>
        <v>16.5</v>
      </c>
    </row>
    <row r="378" customFormat="1" spans="1:8">
      <c r="A378" s="2">
        <v>46161</v>
      </c>
      <c r="B378" s="3">
        <v>1604471</v>
      </c>
      <c r="C378" s="3" t="s">
        <v>150</v>
      </c>
      <c r="D378" s="4">
        <v>20326613</v>
      </c>
      <c r="E378" s="3" t="s">
        <v>78</v>
      </c>
      <c r="F378" s="4">
        <v>4</v>
      </c>
      <c r="G378" s="5">
        <v>88</v>
      </c>
      <c r="H378" s="5">
        <f t="shared" si="5"/>
        <v>352</v>
      </c>
    </row>
    <row r="379" customFormat="1" spans="1:8">
      <c r="A379" s="2">
        <v>46161</v>
      </c>
      <c r="B379" s="3">
        <v>1604471</v>
      </c>
      <c r="C379" s="3" t="s">
        <v>154</v>
      </c>
      <c r="D379" s="4">
        <v>20328192</v>
      </c>
      <c r="E379" s="3" t="s">
        <v>75</v>
      </c>
      <c r="F379" s="4">
        <v>1</v>
      </c>
      <c r="G379" s="5">
        <v>38.5</v>
      </c>
      <c r="H379" s="5">
        <f t="shared" si="5"/>
        <v>38.5</v>
      </c>
    </row>
    <row r="380" customFormat="1" spans="1:8">
      <c r="A380" s="2">
        <v>46161</v>
      </c>
      <c r="B380" s="3">
        <v>1604471</v>
      </c>
      <c r="C380" s="3" t="s">
        <v>151</v>
      </c>
      <c r="D380" s="4">
        <v>20421967</v>
      </c>
      <c r="E380" s="3" t="s">
        <v>66</v>
      </c>
      <c r="F380" s="4">
        <v>1</v>
      </c>
      <c r="G380" s="5">
        <v>8</v>
      </c>
      <c r="H380" s="5">
        <f t="shared" si="5"/>
        <v>8</v>
      </c>
    </row>
    <row r="381" customFormat="1" spans="1:8">
      <c r="A381" s="2">
        <v>46161</v>
      </c>
      <c r="B381" s="3">
        <v>1604471</v>
      </c>
      <c r="C381" s="3" t="s">
        <v>151</v>
      </c>
      <c r="D381" s="4">
        <v>20318235</v>
      </c>
      <c r="E381" s="3" t="s">
        <v>88</v>
      </c>
      <c r="F381" s="4">
        <v>1</v>
      </c>
      <c r="G381" s="5">
        <v>8</v>
      </c>
      <c r="H381" s="5">
        <f t="shared" si="5"/>
        <v>8</v>
      </c>
    </row>
    <row r="382" customFormat="1" spans="1:8">
      <c r="A382" s="2">
        <v>46161</v>
      </c>
      <c r="B382" s="3">
        <v>1604471</v>
      </c>
      <c r="C382" s="3" t="s">
        <v>151</v>
      </c>
      <c r="D382" s="4">
        <v>20329847</v>
      </c>
      <c r="E382" s="3" t="s">
        <v>129</v>
      </c>
      <c r="F382" s="4">
        <v>1</v>
      </c>
      <c r="G382" s="5">
        <v>13</v>
      </c>
      <c r="H382" s="5">
        <f t="shared" si="5"/>
        <v>13</v>
      </c>
    </row>
    <row r="383" customFormat="1" spans="1:8">
      <c r="A383" s="2">
        <v>46161</v>
      </c>
      <c r="B383" s="3">
        <v>1604471</v>
      </c>
      <c r="C383" s="3" t="s">
        <v>151</v>
      </c>
      <c r="D383" s="4">
        <v>20333142</v>
      </c>
      <c r="E383" s="3" t="s">
        <v>138</v>
      </c>
      <c r="F383" s="4">
        <v>1</v>
      </c>
      <c r="G383" s="5">
        <v>22</v>
      </c>
      <c r="H383" s="5">
        <f t="shared" si="5"/>
        <v>22</v>
      </c>
    </row>
    <row r="384" customFormat="1" spans="1:8">
      <c r="A384" s="2">
        <v>46161</v>
      </c>
      <c r="B384" s="3">
        <v>1604471</v>
      </c>
      <c r="C384" s="3" t="s">
        <v>152</v>
      </c>
      <c r="D384" s="4">
        <v>20351811</v>
      </c>
      <c r="E384" s="3" t="s">
        <v>110</v>
      </c>
      <c r="F384" s="4">
        <v>2</v>
      </c>
      <c r="G384" s="5">
        <v>55</v>
      </c>
      <c r="H384" s="5">
        <f t="shared" si="5"/>
        <v>110</v>
      </c>
    </row>
    <row r="385" customFormat="1" spans="1:8">
      <c r="A385" s="2">
        <v>46161</v>
      </c>
      <c r="B385" s="3">
        <v>1604471</v>
      </c>
      <c r="C385" s="3" t="s">
        <v>153</v>
      </c>
      <c r="D385" s="4">
        <v>20321257</v>
      </c>
      <c r="E385" s="3" t="s">
        <v>68</v>
      </c>
      <c r="F385" s="4">
        <v>2</v>
      </c>
      <c r="G385" s="5">
        <v>16.5</v>
      </c>
      <c r="H385" s="5">
        <f t="shared" si="5"/>
        <v>33</v>
      </c>
    </row>
    <row r="386" customFormat="1" spans="1:8">
      <c r="A386" s="2">
        <v>46161</v>
      </c>
      <c r="B386" s="3">
        <v>1604471</v>
      </c>
      <c r="C386" s="3" t="s">
        <v>153</v>
      </c>
      <c r="D386" s="4">
        <v>20329844</v>
      </c>
      <c r="E386" s="3" t="s">
        <v>70</v>
      </c>
      <c r="F386" s="4">
        <v>1</v>
      </c>
      <c r="G386" s="5">
        <v>16.5</v>
      </c>
      <c r="H386" s="5">
        <f t="shared" ref="H386:H449" si="6">G386*F386</f>
        <v>16.5</v>
      </c>
    </row>
    <row r="387" customFormat="1" spans="1:8">
      <c r="A387" s="2">
        <v>46161</v>
      </c>
      <c r="B387" s="3">
        <v>1604471</v>
      </c>
      <c r="C387" s="3" t="s">
        <v>153</v>
      </c>
      <c r="D387" s="4">
        <v>20329874</v>
      </c>
      <c r="E387" s="3" t="s">
        <v>73</v>
      </c>
      <c r="F387" s="4">
        <v>1</v>
      </c>
      <c r="G387" s="5">
        <v>16.5</v>
      </c>
      <c r="H387" s="5">
        <f t="shared" si="6"/>
        <v>16.5</v>
      </c>
    </row>
    <row r="388" customFormat="1" spans="1:8">
      <c r="A388" s="2">
        <v>46161</v>
      </c>
      <c r="B388" s="3">
        <v>1604471</v>
      </c>
      <c r="C388" s="3" t="s">
        <v>153</v>
      </c>
      <c r="D388" s="4">
        <v>20318262</v>
      </c>
      <c r="E388" s="3" t="s">
        <v>77</v>
      </c>
      <c r="F388" s="4">
        <v>3</v>
      </c>
      <c r="G388" s="5">
        <v>16.5</v>
      </c>
      <c r="H388" s="5">
        <f t="shared" si="6"/>
        <v>49.5</v>
      </c>
    </row>
    <row r="389" customFormat="1" spans="1:8">
      <c r="A389" s="14">
        <v>46161</v>
      </c>
      <c r="B389" s="15">
        <v>1604471</v>
      </c>
      <c r="C389" s="15" t="s">
        <v>153</v>
      </c>
      <c r="D389" s="16">
        <v>20014824</v>
      </c>
      <c r="E389" s="15" t="s">
        <v>85</v>
      </c>
      <c r="F389" s="16">
        <v>1</v>
      </c>
      <c r="G389" s="17">
        <v>16.5</v>
      </c>
      <c r="H389" s="17">
        <f t="shared" si="6"/>
        <v>16.5</v>
      </c>
    </row>
    <row r="390" customFormat="1" spans="1:8">
      <c r="A390" s="2">
        <v>46161</v>
      </c>
      <c r="B390" s="3">
        <v>1604471</v>
      </c>
      <c r="C390" s="3" t="s">
        <v>153</v>
      </c>
      <c r="D390" s="4">
        <v>20342042</v>
      </c>
      <c r="E390" s="3" t="s">
        <v>131</v>
      </c>
      <c r="F390" s="4">
        <v>1</v>
      </c>
      <c r="G390" s="5">
        <v>16.5</v>
      </c>
      <c r="H390" s="5">
        <f t="shared" si="6"/>
        <v>16.5</v>
      </c>
    </row>
    <row r="391" customFormat="1" spans="1:8">
      <c r="A391" s="2">
        <v>46162</v>
      </c>
      <c r="B391" s="3">
        <v>1604712</v>
      </c>
      <c r="C391" s="3" t="s">
        <v>150</v>
      </c>
      <c r="D391" s="4">
        <v>20326613</v>
      </c>
      <c r="E391" s="3" t="s">
        <v>78</v>
      </c>
      <c r="F391" s="4">
        <v>9</v>
      </c>
      <c r="G391" s="5">
        <v>88</v>
      </c>
      <c r="H391" s="5">
        <f t="shared" si="6"/>
        <v>792</v>
      </c>
    </row>
    <row r="392" customFormat="1" spans="1:8">
      <c r="A392" s="2">
        <v>46162</v>
      </c>
      <c r="B392" s="3">
        <v>1604712</v>
      </c>
      <c r="C392" s="3" t="s">
        <v>150</v>
      </c>
      <c r="D392" s="4">
        <v>20318156</v>
      </c>
      <c r="E392" s="3" t="s">
        <v>112</v>
      </c>
      <c r="F392" s="4">
        <v>2</v>
      </c>
      <c r="G392" s="5">
        <v>154</v>
      </c>
      <c r="H392" s="5">
        <f t="shared" si="6"/>
        <v>308</v>
      </c>
    </row>
    <row r="393" customFormat="1" spans="1:8">
      <c r="A393" s="2">
        <v>46162</v>
      </c>
      <c r="B393" s="3">
        <v>1604712</v>
      </c>
      <c r="C393" s="3" t="s">
        <v>151</v>
      </c>
      <c r="D393" s="4">
        <v>20329846</v>
      </c>
      <c r="E393" s="3" t="s">
        <v>90</v>
      </c>
      <c r="F393" s="4">
        <v>1</v>
      </c>
      <c r="G393" s="5">
        <v>13.5</v>
      </c>
      <c r="H393" s="5">
        <f t="shared" si="6"/>
        <v>13.5</v>
      </c>
    </row>
    <row r="394" customFormat="1" spans="1:8">
      <c r="A394" s="2">
        <v>46162</v>
      </c>
      <c r="B394" s="3">
        <v>1604712</v>
      </c>
      <c r="C394" s="3" t="s">
        <v>151</v>
      </c>
      <c r="D394" s="4">
        <v>20318250</v>
      </c>
      <c r="E394" s="3" t="s">
        <v>113</v>
      </c>
      <c r="F394" s="4">
        <v>1</v>
      </c>
      <c r="G394" s="5">
        <v>8</v>
      </c>
      <c r="H394" s="5">
        <f t="shared" si="6"/>
        <v>8</v>
      </c>
    </row>
    <row r="395" customFormat="1" spans="1:8">
      <c r="A395" s="2">
        <v>46162</v>
      </c>
      <c r="B395" s="3">
        <v>1604712</v>
      </c>
      <c r="C395" s="3" t="s">
        <v>151</v>
      </c>
      <c r="D395" s="4">
        <v>20329847</v>
      </c>
      <c r="E395" s="3" t="s">
        <v>129</v>
      </c>
      <c r="F395" s="4">
        <v>6</v>
      </c>
      <c r="G395" s="5">
        <v>13</v>
      </c>
      <c r="H395" s="5">
        <f t="shared" si="6"/>
        <v>78</v>
      </c>
    </row>
    <row r="396" customFormat="1" spans="1:8">
      <c r="A396" s="2">
        <v>46162</v>
      </c>
      <c r="B396" s="3">
        <v>1604712</v>
      </c>
      <c r="C396" s="3" t="s">
        <v>151</v>
      </c>
      <c r="D396" s="4">
        <v>20318231</v>
      </c>
      <c r="E396" s="3" t="s">
        <v>130</v>
      </c>
      <c r="F396" s="4">
        <v>2</v>
      </c>
      <c r="G396" s="5">
        <v>16.5</v>
      </c>
      <c r="H396" s="5">
        <f t="shared" si="6"/>
        <v>33</v>
      </c>
    </row>
    <row r="397" customFormat="1" spans="1:8">
      <c r="A397" s="2">
        <v>46162</v>
      </c>
      <c r="B397" s="3">
        <v>1604712</v>
      </c>
      <c r="C397" s="3" t="s">
        <v>151</v>
      </c>
      <c r="D397" s="4">
        <v>20333142</v>
      </c>
      <c r="E397" s="3" t="s">
        <v>138</v>
      </c>
      <c r="F397" s="4">
        <v>1</v>
      </c>
      <c r="G397" s="5">
        <v>22</v>
      </c>
      <c r="H397" s="5">
        <f t="shared" si="6"/>
        <v>22</v>
      </c>
    </row>
    <row r="398" customFormat="1" spans="1:8">
      <c r="A398" s="2">
        <v>46162</v>
      </c>
      <c r="B398" s="3">
        <v>1604712</v>
      </c>
      <c r="C398" s="3" t="s">
        <v>151</v>
      </c>
      <c r="D398" s="4">
        <v>20331472</v>
      </c>
      <c r="E398" s="3" t="s">
        <v>141</v>
      </c>
      <c r="F398" s="4">
        <v>1</v>
      </c>
      <c r="G398" s="5">
        <v>8</v>
      </c>
      <c r="H398" s="5">
        <f t="shared" si="6"/>
        <v>8</v>
      </c>
    </row>
    <row r="399" customFormat="1" spans="1:8">
      <c r="A399" s="2">
        <v>46162</v>
      </c>
      <c r="B399" s="3">
        <v>1604712</v>
      </c>
      <c r="C399" s="3" t="s">
        <v>155</v>
      </c>
      <c r="D399" s="4">
        <v>20322228</v>
      </c>
      <c r="E399" s="3" t="s">
        <v>74</v>
      </c>
      <c r="F399" s="4">
        <v>1</v>
      </c>
      <c r="G399" s="5">
        <v>15</v>
      </c>
      <c r="H399" s="5">
        <f t="shared" si="6"/>
        <v>15</v>
      </c>
    </row>
    <row r="400" customFormat="1" spans="1:8">
      <c r="A400" s="2">
        <v>46162</v>
      </c>
      <c r="B400" s="3">
        <v>1604712</v>
      </c>
      <c r="C400" s="3" t="s">
        <v>156</v>
      </c>
      <c r="D400" s="4">
        <v>20322235</v>
      </c>
      <c r="E400" s="3" t="s">
        <v>111</v>
      </c>
      <c r="F400" s="4">
        <v>2</v>
      </c>
      <c r="G400" s="5">
        <v>2.5</v>
      </c>
      <c r="H400" s="5">
        <f t="shared" si="6"/>
        <v>5</v>
      </c>
    </row>
    <row r="401" customFormat="1" spans="1:8">
      <c r="A401" s="2">
        <v>46162</v>
      </c>
      <c r="B401" s="3">
        <v>1604712</v>
      </c>
      <c r="C401" s="3" t="s">
        <v>152</v>
      </c>
      <c r="D401" s="4">
        <v>20419565</v>
      </c>
      <c r="E401" s="3" t="s">
        <v>103</v>
      </c>
      <c r="F401" s="4">
        <v>1</v>
      </c>
      <c r="G401" s="5">
        <v>66</v>
      </c>
      <c r="H401" s="5">
        <f t="shared" si="6"/>
        <v>66</v>
      </c>
    </row>
    <row r="402" customFormat="1" spans="1:8">
      <c r="A402" s="2">
        <v>46162</v>
      </c>
      <c r="B402" s="3">
        <v>1604712</v>
      </c>
      <c r="C402" s="3" t="s">
        <v>152</v>
      </c>
      <c r="D402" s="4">
        <v>20351811</v>
      </c>
      <c r="E402" s="3" t="s">
        <v>110</v>
      </c>
      <c r="F402" s="4">
        <v>6</v>
      </c>
      <c r="G402" s="5">
        <v>55</v>
      </c>
      <c r="H402" s="5">
        <f t="shared" si="6"/>
        <v>330</v>
      </c>
    </row>
    <row r="403" customFormat="1" spans="1:8">
      <c r="A403" s="2">
        <v>46162</v>
      </c>
      <c r="B403" s="3">
        <v>1604712</v>
      </c>
      <c r="C403" s="3" t="s">
        <v>153</v>
      </c>
      <c r="D403" s="4">
        <v>20321257</v>
      </c>
      <c r="E403" s="3" t="s">
        <v>68</v>
      </c>
      <c r="F403" s="4">
        <v>6</v>
      </c>
      <c r="G403" s="5">
        <v>16.5</v>
      </c>
      <c r="H403" s="5">
        <f t="shared" si="6"/>
        <v>99</v>
      </c>
    </row>
    <row r="404" customFormat="1" spans="1:8">
      <c r="A404" s="2">
        <v>46162</v>
      </c>
      <c r="B404" s="3">
        <v>1604712</v>
      </c>
      <c r="C404" s="3" t="s">
        <v>153</v>
      </c>
      <c r="D404" s="4">
        <v>20329874</v>
      </c>
      <c r="E404" s="3" t="s">
        <v>73</v>
      </c>
      <c r="F404" s="4">
        <v>2</v>
      </c>
      <c r="G404" s="5">
        <v>16.5</v>
      </c>
      <c r="H404" s="5">
        <f t="shared" si="6"/>
        <v>33</v>
      </c>
    </row>
    <row r="405" customFormat="1" spans="1:8">
      <c r="A405" s="2">
        <v>46162</v>
      </c>
      <c r="B405" s="3">
        <v>1604712</v>
      </c>
      <c r="C405" s="3" t="s">
        <v>153</v>
      </c>
      <c r="D405" s="4">
        <v>20318262</v>
      </c>
      <c r="E405" s="3" t="s">
        <v>77</v>
      </c>
      <c r="F405" s="4">
        <v>1</v>
      </c>
      <c r="G405" s="5">
        <v>16.5</v>
      </c>
      <c r="H405" s="5">
        <f t="shared" si="6"/>
        <v>16.5</v>
      </c>
    </row>
    <row r="406" customFormat="1" spans="1:8">
      <c r="A406" s="14">
        <v>46162</v>
      </c>
      <c r="B406" s="15">
        <v>1604712</v>
      </c>
      <c r="C406" s="15" t="s">
        <v>153</v>
      </c>
      <c r="D406" s="16">
        <v>20014824</v>
      </c>
      <c r="E406" s="15" t="s">
        <v>85</v>
      </c>
      <c r="F406" s="16">
        <v>1</v>
      </c>
      <c r="G406" s="17">
        <v>16.5</v>
      </c>
      <c r="H406" s="17">
        <f t="shared" si="6"/>
        <v>16.5</v>
      </c>
    </row>
    <row r="407" customFormat="1" spans="1:8">
      <c r="A407" s="2">
        <v>46162</v>
      </c>
      <c r="B407" s="3">
        <v>1604712</v>
      </c>
      <c r="C407" s="3" t="s">
        <v>153</v>
      </c>
      <c r="D407" s="4">
        <v>20321688</v>
      </c>
      <c r="E407" s="3" t="s">
        <v>87</v>
      </c>
      <c r="F407" s="4">
        <v>1</v>
      </c>
      <c r="G407" s="5">
        <v>16.5</v>
      </c>
      <c r="H407" s="5">
        <f t="shared" si="6"/>
        <v>16.5</v>
      </c>
    </row>
    <row r="408" customFormat="1" spans="1:8">
      <c r="A408" s="2">
        <v>46162</v>
      </c>
      <c r="B408" s="3">
        <v>1604712</v>
      </c>
      <c r="C408" s="3" t="s">
        <v>153</v>
      </c>
      <c r="D408" s="4">
        <v>20318197</v>
      </c>
      <c r="E408" s="3" t="s">
        <v>119</v>
      </c>
      <c r="F408" s="4">
        <v>1</v>
      </c>
      <c r="G408" s="5">
        <v>16.5</v>
      </c>
      <c r="H408" s="5">
        <f t="shared" si="6"/>
        <v>16.5</v>
      </c>
    </row>
    <row r="409" customFormat="1" spans="1:8">
      <c r="A409" s="2">
        <v>46162</v>
      </c>
      <c r="B409" s="3">
        <v>1604844</v>
      </c>
      <c r="C409" s="3" t="s">
        <v>150</v>
      </c>
      <c r="D409" s="4">
        <v>20326613</v>
      </c>
      <c r="E409" s="3" t="s">
        <v>78</v>
      </c>
      <c r="F409" s="4">
        <v>3</v>
      </c>
      <c r="G409" s="5">
        <v>88</v>
      </c>
      <c r="H409" s="5">
        <f t="shared" si="6"/>
        <v>264</v>
      </c>
    </row>
    <row r="410" customFormat="1" spans="1:8">
      <c r="A410" s="2">
        <v>46162</v>
      </c>
      <c r="B410" s="3">
        <v>1604844</v>
      </c>
      <c r="C410" s="3" t="s">
        <v>150</v>
      </c>
      <c r="D410" s="4">
        <v>20312951</v>
      </c>
      <c r="E410" s="3" t="s">
        <v>121</v>
      </c>
      <c r="F410" s="4">
        <v>1</v>
      </c>
      <c r="G410" s="5">
        <v>165</v>
      </c>
      <c r="H410" s="5">
        <f t="shared" si="6"/>
        <v>165</v>
      </c>
    </row>
    <row r="411" customFormat="1" spans="1:8">
      <c r="A411" s="2">
        <v>46162</v>
      </c>
      <c r="B411" s="3">
        <v>1604844</v>
      </c>
      <c r="C411" s="3" t="s">
        <v>154</v>
      </c>
      <c r="D411" s="4">
        <v>20328192</v>
      </c>
      <c r="E411" s="3" t="s">
        <v>75</v>
      </c>
      <c r="F411" s="4">
        <v>2</v>
      </c>
      <c r="G411" s="5">
        <v>38.5</v>
      </c>
      <c r="H411" s="5">
        <f t="shared" si="6"/>
        <v>77</v>
      </c>
    </row>
    <row r="412" customFormat="1" spans="1:8">
      <c r="A412" s="2">
        <v>46162</v>
      </c>
      <c r="B412" s="3">
        <v>1604844</v>
      </c>
      <c r="C412" s="3" t="s">
        <v>151</v>
      </c>
      <c r="D412" s="4">
        <v>20421967</v>
      </c>
      <c r="E412" s="3" t="s">
        <v>66</v>
      </c>
      <c r="F412" s="4">
        <v>1</v>
      </c>
      <c r="G412" s="5">
        <v>8</v>
      </c>
      <c r="H412" s="5">
        <f t="shared" si="6"/>
        <v>8</v>
      </c>
    </row>
    <row r="413" customFormat="1" spans="1:8">
      <c r="A413" s="2">
        <v>46162</v>
      </c>
      <c r="B413" s="3">
        <v>1604844</v>
      </c>
      <c r="C413" s="3" t="s">
        <v>151</v>
      </c>
      <c r="D413" s="4">
        <v>20318257</v>
      </c>
      <c r="E413" s="3" t="s">
        <v>86</v>
      </c>
      <c r="F413" s="4">
        <v>1</v>
      </c>
      <c r="G413" s="5">
        <v>8</v>
      </c>
      <c r="H413" s="5">
        <f t="shared" si="6"/>
        <v>8</v>
      </c>
    </row>
    <row r="414" customFormat="1" spans="1:8">
      <c r="A414" s="2">
        <v>46162</v>
      </c>
      <c r="B414" s="3">
        <v>1604844</v>
      </c>
      <c r="C414" s="3" t="s">
        <v>151</v>
      </c>
      <c r="D414" s="4">
        <v>20329846</v>
      </c>
      <c r="E414" s="3" t="s">
        <v>90</v>
      </c>
      <c r="F414" s="4">
        <v>1</v>
      </c>
      <c r="G414" s="5">
        <v>13.5</v>
      </c>
      <c r="H414" s="5">
        <f t="shared" si="6"/>
        <v>13.5</v>
      </c>
    </row>
    <row r="415" customFormat="1" spans="1:8">
      <c r="A415" s="2">
        <v>46162</v>
      </c>
      <c r="B415" s="3">
        <v>1604844</v>
      </c>
      <c r="C415" s="3" t="s">
        <v>151</v>
      </c>
      <c r="D415" s="4">
        <v>20329843</v>
      </c>
      <c r="E415" s="3" t="s">
        <v>92</v>
      </c>
      <c r="F415" s="4">
        <v>2</v>
      </c>
      <c r="G415" s="5">
        <v>11</v>
      </c>
      <c r="H415" s="5">
        <f t="shared" si="6"/>
        <v>22</v>
      </c>
    </row>
    <row r="416" customFormat="1" spans="1:8">
      <c r="A416" s="2">
        <v>46162</v>
      </c>
      <c r="B416" s="3">
        <v>1604844</v>
      </c>
      <c r="C416" s="3" t="s">
        <v>151</v>
      </c>
      <c r="D416" s="4">
        <v>20331668</v>
      </c>
      <c r="E416" s="3" t="s">
        <v>115</v>
      </c>
      <c r="F416" s="4">
        <v>1</v>
      </c>
      <c r="G416" s="5">
        <v>8</v>
      </c>
      <c r="H416" s="5">
        <f t="shared" si="6"/>
        <v>8</v>
      </c>
    </row>
    <row r="417" customFormat="1" spans="1:8">
      <c r="A417" s="2">
        <v>46162</v>
      </c>
      <c r="B417" s="3">
        <v>1604844</v>
      </c>
      <c r="C417" s="3" t="s">
        <v>151</v>
      </c>
      <c r="D417" s="4">
        <v>20365390</v>
      </c>
      <c r="E417" s="3" t="s">
        <v>134</v>
      </c>
      <c r="F417" s="4">
        <v>1</v>
      </c>
      <c r="G417" s="5">
        <v>22</v>
      </c>
      <c r="H417" s="5">
        <f t="shared" si="6"/>
        <v>22</v>
      </c>
    </row>
    <row r="418" customFormat="1" spans="1:8">
      <c r="A418" s="2">
        <v>46162</v>
      </c>
      <c r="B418" s="3">
        <v>1604844</v>
      </c>
      <c r="C418" s="3" t="s">
        <v>151</v>
      </c>
      <c r="D418" s="4">
        <v>20333142</v>
      </c>
      <c r="E418" s="3" t="s">
        <v>138</v>
      </c>
      <c r="F418" s="4">
        <v>1</v>
      </c>
      <c r="G418" s="5">
        <v>22</v>
      </c>
      <c r="H418" s="5">
        <f t="shared" si="6"/>
        <v>22</v>
      </c>
    </row>
    <row r="419" customFormat="1" spans="1:8">
      <c r="A419" s="2">
        <v>46162</v>
      </c>
      <c r="B419" s="3">
        <v>1604844</v>
      </c>
      <c r="C419" s="3" t="s">
        <v>151</v>
      </c>
      <c r="D419" s="4">
        <v>20318254</v>
      </c>
      <c r="E419" s="3" t="s">
        <v>139</v>
      </c>
      <c r="F419" s="4">
        <v>1</v>
      </c>
      <c r="G419" s="5">
        <v>16.5</v>
      </c>
      <c r="H419" s="5">
        <f t="shared" si="6"/>
        <v>16.5</v>
      </c>
    </row>
    <row r="420" customFormat="1" spans="1:8">
      <c r="A420" s="2">
        <v>46162</v>
      </c>
      <c r="B420" s="3">
        <v>1604844</v>
      </c>
      <c r="C420" s="3" t="s">
        <v>153</v>
      </c>
      <c r="D420" s="4">
        <v>20321257</v>
      </c>
      <c r="E420" s="3" t="s">
        <v>68</v>
      </c>
      <c r="F420" s="4">
        <v>1</v>
      </c>
      <c r="G420" s="5">
        <v>16.5</v>
      </c>
      <c r="H420" s="5">
        <f t="shared" si="6"/>
        <v>16.5</v>
      </c>
    </row>
    <row r="421" customFormat="1" spans="1:8">
      <c r="A421" s="2">
        <v>46162</v>
      </c>
      <c r="B421" s="3">
        <v>1604844</v>
      </c>
      <c r="C421" s="3" t="s">
        <v>153</v>
      </c>
      <c r="D421" s="4">
        <v>20329844</v>
      </c>
      <c r="E421" s="3" t="s">
        <v>70</v>
      </c>
      <c r="F421" s="4">
        <v>1</v>
      </c>
      <c r="G421" s="5">
        <v>16.5</v>
      </c>
      <c r="H421" s="5">
        <f t="shared" si="6"/>
        <v>16.5</v>
      </c>
    </row>
    <row r="422" customFormat="1" spans="1:8">
      <c r="A422" s="2">
        <v>46162</v>
      </c>
      <c r="B422" s="3">
        <v>1604844</v>
      </c>
      <c r="C422" s="3" t="s">
        <v>153</v>
      </c>
      <c r="D422" s="4">
        <v>20318262</v>
      </c>
      <c r="E422" s="3" t="s">
        <v>77</v>
      </c>
      <c r="F422" s="4">
        <v>2</v>
      </c>
      <c r="G422" s="5">
        <v>16.5</v>
      </c>
      <c r="H422" s="5">
        <f t="shared" si="6"/>
        <v>33</v>
      </c>
    </row>
    <row r="423" customFormat="1" spans="1:8">
      <c r="A423" s="14">
        <v>46162</v>
      </c>
      <c r="B423" s="15">
        <v>1604844</v>
      </c>
      <c r="C423" s="15" t="s">
        <v>153</v>
      </c>
      <c r="D423" s="16">
        <v>20014824</v>
      </c>
      <c r="E423" s="15" t="s">
        <v>85</v>
      </c>
      <c r="F423" s="16">
        <v>2</v>
      </c>
      <c r="G423" s="17">
        <v>16.5</v>
      </c>
      <c r="H423" s="17">
        <f t="shared" si="6"/>
        <v>33</v>
      </c>
    </row>
    <row r="424" customFormat="1" spans="1:8">
      <c r="A424" s="2">
        <v>46162</v>
      </c>
      <c r="B424" s="3">
        <v>1604844</v>
      </c>
      <c r="C424" s="3" t="s">
        <v>153</v>
      </c>
      <c r="D424" s="4">
        <v>20318379</v>
      </c>
      <c r="E424" s="3" t="s">
        <v>127</v>
      </c>
      <c r="F424" s="4">
        <v>1</v>
      </c>
      <c r="G424" s="5">
        <v>16.5</v>
      </c>
      <c r="H424" s="5">
        <f t="shared" si="6"/>
        <v>16.5</v>
      </c>
    </row>
    <row r="425" customFormat="1" spans="1:8">
      <c r="A425" s="2">
        <v>46162</v>
      </c>
      <c r="B425" s="3">
        <v>1604877</v>
      </c>
      <c r="C425" s="3" t="s">
        <v>150</v>
      </c>
      <c r="D425" s="4">
        <v>20328374</v>
      </c>
      <c r="E425" s="3" t="s">
        <v>72</v>
      </c>
      <c r="F425" s="4">
        <v>1</v>
      </c>
      <c r="G425" s="5">
        <v>264</v>
      </c>
      <c r="H425" s="5">
        <f t="shared" si="6"/>
        <v>264</v>
      </c>
    </row>
    <row r="426" customFormat="1" spans="1:8">
      <c r="A426" s="2">
        <v>46162</v>
      </c>
      <c r="B426" s="3">
        <v>1604877</v>
      </c>
      <c r="C426" s="3" t="s">
        <v>150</v>
      </c>
      <c r="D426" s="4">
        <v>20326613</v>
      </c>
      <c r="E426" s="3" t="s">
        <v>78</v>
      </c>
      <c r="F426" s="4">
        <v>6</v>
      </c>
      <c r="G426" s="5">
        <v>88</v>
      </c>
      <c r="H426" s="5">
        <f t="shared" si="6"/>
        <v>528</v>
      </c>
    </row>
    <row r="427" customFormat="1" spans="1:8">
      <c r="A427" s="2">
        <v>46162</v>
      </c>
      <c r="B427" s="3">
        <v>1604877</v>
      </c>
      <c r="C427" s="3" t="s">
        <v>150</v>
      </c>
      <c r="D427" s="4">
        <v>20377845</v>
      </c>
      <c r="E427" s="3" t="s">
        <v>106</v>
      </c>
      <c r="F427" s="4">
        <v>1</v>
      </c>
      <c r="G427" s="5">
        <v>66</v>
      </c>
      <c r="H427" s="5">
        <f t="shared" si="6"/>
        <v>66</v>
      </c>
    </row>
    <row r="428" customFormat="1" spans="1:8">
      <c r="A428" s="2">
        <v>46162</v>
      </c>
      <c r="B428" s="3">
        <v>1604877</v>
      </c>
      <c r="C428" s="3" t="s">
        <v>150</v>
      </c>
      <c r="D428" s="4">
        <v>20411130</v>
      </c>
      <c r="E428" s="3" t="s">
        <v>124</v>
      </c>
      <c r="F428" s="4">
        <v>1</v>
      </c>
      <c r="G428" s="5">
        <v>16.5</v>
      </c>
      <c r="H428" s="5">
        <f t="shared" si="6"/>
        <v>16.5</v>
      </c>
    </row>
    <row r="429" customFormat="1" spans="1:8">
      <c r="A429" s="2">
        <v>46162</v>
      </c>
      <c r="B429" s="3">
        <v>1604877</v>
      </c>
      <c r="C429" s="3" t="s">
        <v>150</v>
      </c>
      <c r="D429" s="4">
        <v>20411133</v>
      </c>
      <c r="E429" s="3" t="s">
        <v>126</v>
      </c>
      <c r="F429" s="4">
        <v>1</v>
      </c>
      <c r="G429" s="5">
        <v>16.5</v>
      </c>
      <c r="H429" s="5">
        <f t="shared" si="6"/>
        <v>16.5</v>
      </c>
    </row>
    <row r="430" customFormat="1" spans="1:8">
      <c r="A430" s="2">
        <v>46162</v>
      </c>
      <c r="B430" s="3">
        <v>1604877</v>
      </c>
      <c r="C430" s="3" t="s">
        <v>151</v>
      </c>
      <c r="D430" s="4">
        <v>20421967</v>
      </c>
      <c r="E430" s="3" t="s">
        <v>66</v>
      </c>
      <c r="F430" s="4">
        <v>1</v>
      </c>
      <c r="G430" s="5">
        <v>8</v>
      </c>
      <c r="H430" s="5">
        <f t="shared" si="6"/>
        <v>8</v>
      </c>
    </row>
    <row r="431" customFormat="1" spans="1:8">
      <c r="A431" s="2">
        <v>46162</v>
      </c>
      <c r="B431" s="3">
        <v>1604877</v>
      </c>
      <c r="C431" s="3" t="s">
        <v>151</v>
      </c>
      <c r="D431" s="4">
        <v>20318247</v>
      </c>
      <c r="E431" s="3" t="s">
        <v>69</v>
      </c>
      <c r="F431" s="4">
        <v>1</v>
      </c>
      <c r="G431" s="5">
        <v>8</v>
      </c>
      <c r="H431" s="5">
        <f t="shared" si="6"/>
        <v>8</v>
      </c>
    </row>
    <row r="432" customFormat="1" spans="1:8">
      <c r="A432" s="2">
        <v>46162</v>
      </c>
      <c r="B432" s="3">
        <v>1604877</v>
      </c>
      <c r="C432" s="3" t="s">
        <v>151</v>
      </c>
      <c r="D432" s="4">
        <v>20318235</v>
      </c>
      <c r="E432" s="3" t="s">
        <v>88</v>
      </c>
      <c r="F432" s="4">
        <v>1</v>
      </c>
      <c r="G432" s="5">
        <v>8</v>
      </c>
      <c r="H432" s="5">
        <f t="shared" si="6"/>
        <v>8</v>
      </c>
    </row>
    <row r="433" customFormat="1" spans="1:8">
      <c r="A433" s="2">
        <v>46162</v>
      </c>
      <c r="B433" s="3">
        <v>1604877</v>
      </c>
      <c r="C433" s="3" t="s">
        <v>151</v>
      </c>
      <c r="D433" s="4">
        <v>20329846</v>
      </c>
      <c r="E433" s="3" t="s">
        <v>90</v>
      </c>
      <c r="F433" s="4">
        <v>1</v>
      </c>
      <c r="G433" s="5">
        <v>13.5</v>
      </c>
      <c r="H433" s="5">
        <f t="shared" si="6"/>
        <v>13.5</v>
      </c>
    </row>
    <row r="434" customFormat="1" spans="1:8">
      <c r="A434" s="2">
        <v>46162</v>
      </c>
      <c r="B434" s="3">
        <v>1604877</v>
      </c>
      <c r="C434" s="3" t="s">
        <v>151</v>
      </c>
      <c r="D434" s="4">
        <v>20329981</v>
      </c>
      <c r="E434" s="3" t="s">
        <v>95</v>
      </c>
      <c r="F434" s="4">
        <v>1</v>
      </c>
      <c r="G434" s="5">
        <v>8</v>
      </c>
      <c r="H434" s="5">
        <f t="shared" si="6"/>
        <v>8</v>
      </c>
    </row>
    <row r="435" customFormat="1" spans="1:8">
      <c r="A435" s="2">
        <v>46162</v>
      </c>
      <c r="B435" s="3">
        <v>1604877</v>
      </c>
      <c r="C435" s="3" t="s">
        <v>151</v>
      </c>
      <c r="D435" s="4">
        <v>20351064</v>
      </c>
      <c r="E435" s="3" t="s">
        <v>99</v>
      </c>
      <c r="F435" s="4">
        <v>1</v>
      </c>
      <c r="G435" s="5">
        <v>13.5</v>
      </c>
      <c r="H435" s="5">
        <f t="shared" si="6"/>
        <v>13.5</v>
      </c>
    </row>
    <row r="436" customFormat="1" spans="1:8">
      <c r="A436" s="2">
        <v>46162</v>
      </c>
      <c r="B436" s="3">
        <v>1604877</v>
      </c>
      <c r="C436" s="3" t="s">
        <v>151</v>
      </c>
      <c r="D436" s="4">
        <v>20333778</v>
      </c>
      <c r="E436" s="3" t="s">
        <v>116</v>
      </c>
      <c r="F436" s="4">
        <v>1</v>
      </c>
      <c r="G436" s="5">
        <v>16.5</v>
      </c>
      <c r="H436" s="5">
        <f t="shared" si="6"/>
        <v>16.5</v>
      </c>
    </row>
    <row r="437" customFormat="1" spans="1:8">
      <c r="A437" s="2">
        <v>46162</v>
      </c>
      <c r="B437" s="3">
        <v>1604877</v>
      </c>
      <c r="C437" s="3" t="s">
        <v>151</v>
      </c>
      <c r="D437" s="4">
        <v>20329847</v>
      </c>
      <c r="E437" s="3" t="s">
        <v>129</v>
      </c>
      <c r="F437" s="4">
        <v>1</v>
      </c>
      <c r="G437" s="5">
        <v>13</v>
      </c>
      <c r="H437" s="5">
        <f t="shared" si="6"/>
        <v>13</v>
      </c>
    </row>
    <row r="438" customFormat="1" spans="1:8">
      <c r="A438" s="2">
        <v>46162</v>
      </c>
      <c r="B438" s="3">
        <v>1604877</v>
      </c>
      <c r="C438" s="3" t="s">
        <v>151</v>
      </c>
      <c r="D438" s="4">
        <v>20318231</v>
      </c>
      <c r="E438" s="3" t="s">
        <v>130</v>
      </c>
      <c r="F438" s="4">
        <v>2</v>
      </c>
      <c r="G438" s="5">
        <v>16.5</v>
      </c>
      <c r="H438" s="5">
        <f t="shared" si="6"/>
        <v>33</v>
      </c>
    </row>
    <row r="439" customFormat="1" spans="1:8">
      <c r="A439" s="2">
        <v>46162</v>
      </c>
      <c r="B439" s="3">
        <v>1604877</v>
      </c>
      <c r="C439" s="3" t="s">
        <v>151</v>
      </c>
      <c r="D439" s="4">
        <v>20333142</v>
      </c>
      <c r="E439" s="3" t="s">
        <v>138</v>
      </c>
      <c r="F439" s="4">
        <v>1</v>
      </c>
      <c r="G439" s="5">
        <v>22</v>
      </c>
      <c r="H439" s="5">
        <f t="shared" si="6"/>
        <v>22</v>
      </c>
    </row>
    <row r="440" customFormat="1" spans="1:8">
      <c r="A440" s="2">
        <v>46162</v>
      </c>
      <c r="B440" s="3">
        <v>1604877</v>
      </c>
      <c r="C440" s="3" t="s">
        <v>152</v>
      </c>
      <c r="D440" s="4">
        <v>20419674</v>
      </c>
      <c r="E440" s="3" t="s">
        <v>104</v>
      </c>
      <c r="F440" s="4">
        <v>1</v>
      </c>
      <c r="G440" s="5">
        <v>66</v>
      </c>
      <c r="H440" s="5">
        <f t="shared" si="6"/>
        <v>66</v>
      </c>
    </row>
    <row r="441" customFormat="1" spans="1:8">
      <c r="A441" s="2">
        <v>46162</v>
      </c>
      <c r="B441" s="3">
        <v>1604877</v>
      </c>
      <c r="C441" s="3" t="s">
        <v>152</v>
      </c>
      <c r="D441" s="4">
        <v>20394933</v>
      </c>
      <c r="E441" s="3" t="s">
        <v>105</v>
      </c>
      <c r="F441" s="4">
        <v>1</v>
      </c>
      <c r="G441" s="5">
        <v>66</v>
      </c>
      <c r="H441" s="5">
        <f t="shared" si="6"/>
        <v>66</v>
      </c>
    </row>
    <row r="442" customFormat="1" spans="1:8">
      <c r="A442" s="2">
        <v>46162</v>
      </c>
      <c r="B442" s="3">
        <v>1604877</v>
      </c>
      <c r="C442" s="3" t="s">
        <v>152</v>
      </c>
      <c r="D442" s="4">
        <v>20328892</v>
      </c>
      <c r="E442" s="3" t="s">
        <v>107</v>
      </c>
      <c r="F442" s="4">
        <v>1</v>
      </c>
      <c r="G442" s="5">
        <v>88</v>
      </c>
      <c r="H442" s="5">
        <f t="shared" si="6"/>
        <v>88</v>
      </c>
    </row>
    <row r="443" customFormat="1" spans="1:8">
      <c r="A443" s="2">
        <v>46162</v>
      </c>
      <c r="B443" s="3">
        <v>1604877</v>
      </c>
      <c r="C443" s="3" t="s">
        <v>153</v>
      </c>
      <c r="D443" s="4">
        <v>20321257</v>
      </c>
      <c r="E443" s="3" t="s">
        <v>68</v>
      </c>
      <c r="F443" s="4">
        <v>3</v>
      </c>
      <c r="G443" s="5">
        <v>16.5</v>
      </c>
      <c r="H443" s="5">
        <f t="shared" si="6"/>
        <v>49.5</v>
      </c>
    </row>
    <row r="444" customFormat="1" spans="1:8">
      <c r="A444" s="2">
        <v>46162</v>
      </c>
      <c r="B444" s="3">
        <v>1604877</v>
      </c>
      <c r="C444" s="3" t="s">
        <v>153</v>
      </c>
      <c r="D444" s="4">
        <v>20329874</v>
      </c>
      <c r="E444" s="3" t="s">
        <v>73</v>
      </c>
      <c r="F444" s="4">
        <v>1</v>
      </c>
      <c r="G444" s="5">
        <v>16.5</v>
      </c>
      <c r="H444" s="5">
        <f t="shared" si="6"/>
        <v>16.5</v>
      </c>
    </row>
    <row r="445" customFormat="1" spans="1:8">
      <c r="A445" s="2">
        <v>46162</v>
      </c>
      <c r="B445" s="3">
        <v>1604877</v>
      </c>
      <c r="C445" s="3" t="s">
        <v>153</v>
      </c>
      <c r="D445" s="4">
        <v>20318262</v>
      </c>
      <c r="E445" s="3" t="s">
        <v>77</v>
      </c>
      <c r="F445" s="4">
        <v>1</v>
      </c>
      <c r="G445" s="5">
        <v>16.5</v>
      </c>
      <c r="H445" s="5">
        <f t="shared" si="6"/>
        <v>16.5</v>
      </c>
    </row>
    <row r="446" customFormat="1" spans="1:8">
      <c r="A446" s="2">
        <v>46163</v>
      </c>
      <c r="B446" s="3">
        <v>1605065</v>
      </c>
      <c r="C446" s="3" t="s">
        <v>150</v>
      </c>
      <c r="D446" s="4">
        <v>20326613</v>
      </c>
      <c r="E446" s="3" t="s">
        <v>78</v>
      </c>
      <c r="F446" s="4">
        <v>8</v>
      </c>
      <c r="G446" s="5">
        <v>88</v>
      </c>
      <c r="H446" s="5">
        <f t="shared" si="6"/>
        <v>704</v>
      </c>
    </row>
    <row r="447" customFormat="1" spans="1:8">
      <c r="A447" s="2">
        <v>46163</v>
      </c>
      <c r="B447" s="3">
        <v>1605065</v>
      </c>
      <c r="C447" s="3" t="s">
        <v>151</v>
      </c>
      <c r="D447" s="4">
        <v>20329846</v>
      </c>
      <c r="E447" s="3" t="s">
        <v>90</v>
      </c>
      <c r="F447" s="4">
        <v>1</v>
      </c>
      <c r="G447" s="5">
        <v>13.5</v>
      </c>
      <c r="H447" s="5">
        <f t="shared" si="6"/>
        <v>13.5</v>
      </c>
    </row>
    <row r="448" customFormat="1" spans="1:8">
      <c r="A448" s="2">
        <v>46163</v>
      </c>
      <c r="B448" s="3">
        <v>1605065</v>
      </c>
      <c r="C448" s="3" t="s">
        <v>151</v>
      </c>
      <c r="D448" s="4">
        <v>20329847</v>
      </c>
      <c r="E448" s="3" t="s">
        <v>129</v>
      </c>
      <c r="F448" s="4">
        <v>5</v>
      </c>
      <c r="G448" s="5">
        <v>13</v>
      </c>
      <c r="H448" s="5">
        <f t="shared" si="6"/>
        <v>65</v>
      </c>
    </row>
    <row r="449" customFormat="1" spans="1:8">
      <c r="A449" s="2">
        <v>46163</v>
      </c>
      <c r="B449" s="3">
        <v>1605065</v>
      </c>
      <c r="C449" s="3" t="s">
        <v>155</v>
      </c>
      <c r="D449" s="4">
        <v>20322228</v>
      </c>
      <c r="E449" s="3" t="s">
        <v>74</v>
      </c>
      <c r="F449" s="4">
        <v>1</v>
      </c>
      <c r="G449" s="5">
        <v>15</v>
      </c>
      <c r="H449" s="5">
        <f t="shared" si="6"/>
        <v>15</v>
      </c>
    </row>
    <row r="450" customFormat="1" spans="1:8">
      <c r="A450" s="2">
        <v>46163</v>
      </c>
      <c r="B450" s="3">
        <v>1605065</v>
      </c>
      <c r="C450" s="3" t="s">
        <v>152</v>
      </c>
      <c r="D450" s="4">
        <v>20394933</v>
      </c>
      <c r="E450" s="3" t="s">
        <v>105</v>
      </c>
      <c r="F450" s="4">
        <v>1</v>
      </c>
      <c r="G450" s="5">
        <v>66</v>
      </c>
      <c r="H450" s="5">
        <f t="shared" ref="H450:H513" si="7">G450*F450</f>
        <v>66</v>
      </c>
    </row>
    <row r="451" customFormat="1" spans="1:8">
      <c r="A451" s="2">
        <v>46163</v>
      </c>
      <c r="B451" s="3">
        <v>1605065</v>
      </c>
      <c r="C451" s="3" t="s">
        <v>152</v>
      </c>
      <c r="D451" s="4">
        <v>20351811</v>
      </c>
      <c r="E451" s="3" t="s">
        <v>110</v>
      </c>
      <c r="F451" s="4">
        <v>1</v>
      </c>
      <c r="G451" s="5">
        <v>55</v>
      </c>
      <c r="H451" s="5">
        <f t="shared" si="7"/>
        <v>55</v>
      </c>
    </row>
    <row r="452" customFormat="1" spans="1:8">
      <c r="A452" s="2">
        <v>46163</v>
      </c>
      <c r="B452" s="3">
        <v>1605065</v>
      </c>
      <c r="C452" s="3" t="s">
        <v>153</v>
      </c>
      <c r="D452" s="4">
        <v>20321257</v>
      </c>
      <c r="E452" s="3" t="s">
        <v>68</v>
      </c>
      <c r="F452" s="4">
        <v>5</v>
      </c>
      <c r="G452" s="5">
        <v>16.5</v>
      </c>
      <c r="H452" s="5">
        <f t="shared" si="7"/>
        <v>82.5</v>
      </c>
    </row>
    <row r="453" customFormat="1" spans="1:8">
      <c r="A453" s="2">
        <v>46163</v>
      </c>
      <c r="B453" s="3">
        <v>1605065</v>
      </c>
      <c r="C453" s="3" t="s">
        <v>153</v>
      </c>
      <c r="D453" s="4">
        <v>20318262</v>
      </c>
      <c r="E453" s="3" t="s">
        <v>77</v>
      </c>
      <c r="F453" s="4">
        <v>1</v>
      </c>
      <c r="G453" s="5">
        <v>16.5</v>
      </c>
      <c r="H453" s="5">
        <f t="shared" si="7"/>
        <v>16.5</v>
      </c>
    </row>
    <row r="454" customFormat="1" spans="1:8">
      <c r="A454" s="14">
        <v>46163</v>
      </c>
      <c r="B454" s="15">
        <v>1605065</v>
      </c>
      <c r="C454" s="15" t="s">
        <v>153</v>
      </c>
      <c r="D454" s="16">
        <v>20014824</v>
      </c>
      <c r="E454" s="15" t="s">
        <v>85</v>
      </c>
      <c r="F454" s="16">
        <v>1</v>
      </c>
      <c r="G454" s="17">
        <v>16.5</v>
      </c>
      <c r="H454" s="17">
        <f t="shared" si="7"/>
        <v>16.5</v>
      </c>
    </row>
    <row r="455" customFormat="1" spans="1:8">
      <c r="A455" s="2">
        <v>46163</v>
      </c>
      <c r="B455" s="3">
        <v>1605065</v>
      </c>
      <c r="C455" s="3" t="s">
        <v>153</v>
      </c>
      <c r="D455" s="4">
        <v>20321468</v>
      </c>
      <c r="E455" s="3" t="s">
        <v>89</v>
      </c>
      <c r="F455" s="4">
        <v>1</v>
      </c>
      <c r="G455" s="5">
        <v>16.5</v>
      </c>
      <c r="H455" s="5">
        <f t="shared" si="7"/>
        <v>16.5</v>
      </c>
    </row>
    <row r="456" customFormat="1" spans="1:8">
      <c r="A456" s="2">
        <v>46163</v>
      </c>
      <c r="B456" s="3">
        <v>1605065</v>
      </c>
      <c r="C456" s="3" t="s">
        <v>153</v>
      </c>
      <c r="D456" s="4">
        <v>20342042</v>
      </c>
      <c r="E456" s="3" t="s">
        <v>131</v>
      </c>
      <c r="F456" s="4">
        <v>1</v>
      </c>
      <c r="G456" s="5">
        <v>16.5</v>
      </c>
      <c r="H456" s="5">
        <f t="shared" si="7"/>
        <v>16.5</v>
      </c>
    </row>
    <row r="457" customFormat="1" spans="1:8">
      <c r="A457" s="2">
        <v>46163</v>
      </c>
      <c r="B457" s="3">
        <v>1605220</v>
      </c>
      <c r="C457" s="3" t="s">
        <v>150</v>
      </c>
      <c r="D457" s="4">
        <v>20326613</v>
      </c>
      <c r="E457" s="3" t="s">
        <v>78</v>
      </c>
      <c r="F457" s="4">
        <v>5</v>
      </c>
      <c r="G457" s="5">
        <v>88</v>
      </c>
      <c r="H457" s="5">
        <f t="shared" si="7"/>
        <v>440</v>
      </c>
    </row>
    <row r="458" customFormat="1" spans="1:8">
      <c r="A458" s="2">
        <v>46163</v>
      </c>
      <c r="B458" s="3">
        <v>1605220</v>
      </c>
      <c r="C458" s="3" t="s">
        <v>150</v>
      </c>
      <c r="D458" s="4">
        <v>20318094</v>
      </c>
      <c r="E458" s="3" t="s">
        <v>102</v>
      </c>
      <c r="F458" s="4">
        <v>1</v>
      </c>
      <c r="G458" s="5">
        <v>148.5</v>
      </c>
      <c r="H458" s="5">
        <f t="shared" si="7"/>
        <v>148.5</v>
      </c>
    </row>
    <row r="459" customFormat="1" spans="1:8">
      <c r="A459" s="2">
        <v>46163</v>
      </c>
      <c r="B459" s="3">
        <v>1605220</v>
      </c>
      <c r="C459" s="3" t="s">
        <v>154</v>
      </c>
      <c r="D459" s="4">
        <v>20328192</v>
      </c>
      <c r="E459" s="3" t="s">
        <v>75</v>
      </c>
      <c r="F459" s="4">
        <v>1</v>
      </c>
      <c r="G459" s="5">
        <v>38.5</v>
      </c>
      <c r="H459" s="5">
        <f t="shared" si="7"/>
        <v>38.5</v>
      </c>
    </row>
    <row r="460" customFormat="1" spans="1:8">
      <c r="A460" s="2">
        <v>46163</v>
      </c>
      <c r="B460" s="3">
        <v>1605220</v>
      </c>
      <c r="C460" s="3" t="s">
        <v>151</v>
      </c>
      <c r="D460" s="4">
        <v>20318235</v>
      </c>
      <c r="E460" s="3" t="s">
        <v>88</v>
      </c>
      <c r="F460" s="4">
        <v>2</v>
      </c>
      <c r="G460" s="5">
        <v>8</v>
      </c>
      <c r="H460" s="5">
        <f t="shared" si="7"/>
        <v>16</v>
      </c>
    </row>
    <row r="461" customFormat="1" spans="1:8">
      <c r="A461" s="2">
        <v>46163</v>
      </c>
      <c r="B461" s="3">
        <v>1605220</v>
      </c>
      <c r="C461" s="3" t="s">
        <v>151</v>
      </c>
      <c r="D461" s="4">
        <v>20329846</v>
      </c>
      <c r="E461" s="3" t="s">
        <v>90</v>
      </c>
      <c r="F461" s="4">
        <v>2</v>
      </c>
      <c r="G461" s="5">
        <v>13.5</v>
      </c>
      <c r="H461" s="5">
        <f t="shared" si="7"/>
        <v>27</v>
      </c>
    </row>
    <row r="462" customFormat="1" spans="1:8">
      <c r="A462" s="2">
        <v>46163</v>
      </c>
      <c r="B462" s="3">
        <v>1605220</v>
      </c>
      <c r="C462" s="3" t="s">
        <v>151</v>
      </c>
      <c r="D462" s="4">
        <v>20351064</v>
      </c>
      <c r="E462" s="3" t="s">
        <v>99</v>
      </c>
      <c r="F462" s="4">
        <v>1</v>
      </c>
      <c r="G462" s="5">
        <v>13.5</v>
      </c>
      <c r="H462" s="5">
        <f t="shared" si="7"/>
        <v>13.5</v>
      </c>
    </row>
    <row r="463" customFormat="1" spans="1:8">
      <c r="A463" s="2">
        <v>46163</v>
      </c>
      <c r="B463" s="3">
        <v>1605220</v>
      </c>
      <c r="C463" s="3" t="s">
        <v>151</v>
      </c>
      <c r="D463" s="4">
        <v>20331668</v>
      </c>
      <c r="E463" s="3" t="s">
        <v>115</v>
      </c>
      <c r="F463" s="4">
        <v>2</v>
      </c>
      <c r="G463" s="5">
        <v>8</v>
      </c>
      <c r="H463" s="5">
        <f t="shared" si="7"/>
        <v>16</v>
      </c>
    </row>
    <row r="464" customFormat="1" spans="1:8">
      <c r="A464" s="2">
        <v>46163</v>
      </c>
      <c r="B464" s="3">
        <v>1605220</v>
      </c>
      <c r="C464" s="3" t="s">
        <v>151</v>
      </c>
      <c r="D464" s="4">
        <v>20329847</v>
      </c>
      <c r="E464" s="3" t="s">
        <v>129</v>
      </c>
      <c r="F464" s="4">
        <v>2</v>
      </c>
      <c r="G464" s="5">
        <v>13</v>
      </c>
      <c r="H464" s="5">
        <f t="shared" si="7"/>
        <v>26</v>
      </c>
    </row>
    <row r="465" customFormat="1" spans="1:8">
      <c r="A465" s="2">
        <v>46163</v>
      </c>
      <c r="B465" s="3">
        <v>1605220</v>
      </c>
      <c r="C465" s="3" t="s">
        <v>151</v>
      </c>
      <c r="D465" s="4">
        <v>20318231</v>
      </c>
      <c r="E465" s="3" t="s">
        <v>130</v>
      </c>
      <c r="F465" s="4">
        <v>1</v>
      </c>
      <c r="G465" s="5">
        <v>16.5</v>
      </c>
      <c r="H465" s="5">
        <f t="shared" si="7"/>
        <v>16.5</v>
      </c>
    </row>
    <row r="466" customFormat="1" spans="1:8">
      <c r="A466" s="2">
        <v>46163</v>
      </c>
      <c r="B466" s="3">
        <v>1605220</v>
      </c>
      <c r="C466" s="3" t="s">
        <v>153</v>
      </c>
      <c r="D466" s="4">
        <v>20321257</v>
      </c>
      <c r="E466" s="3" t="s">
        <v>68</v>
      </c>
      <c r="F466" s="4">
        <v>1</v>
      </c>
      <c r="G466" s="5">
        <v>16.5</v>
      </c>
      <c r="H466" s="5">
        <f t="shared" si="7"/>
        <v>16.5</v>
      </c>
    </row>
    <row r="467" customFormat="1" spans="1:8">
      <c r="A467" s="2">
        <v>46163</v>
      </c>
      <c r="B467" s="3">
        <v>1605220</v>
      </c>
      <c r="C467" s="3" t="s">
        <v>153</v>
      </c>
      <c r="D467" s="4">
        <v>20329844</v>
      </c>
      <c r="E467" s="3" t="s">
        <v>70</v>
      </c>
      <c r="F467" s="4">
        <v>1</v>
      </c>
      <c r="G467" s="5">
        <v>16.5</v>
      </c>
      <c r="H467" s="5">
        <f t="shared" si="7"/>
        <v>16.5</v>
      </c>
    </row>
    <row r="468" customFormat="1" spans="1:8">
      <c r="A468" s="2">
        <v>46163</v>
      </c>
      <c r="B468" s="3">
        <v>1605220</v>
      </c>
      <c r="C468" s="3" t="s">
        <v>153</v>
      </c>
      <c r="D468" s="4">
        <v>20318262</v>
      </c>
      <c r="E468" s="3" t="s">
        <v>77</v>
      </c>
      <c r="F468" s="4">
        <v>4</v>
      </c>
      <c r="G468" s="5">
        <v>16.5</v>
      </c>
      <c r="H468" s="5">
        <f t="shared" si="7"/>
        <v>66</v>
      </c>
    </row>
    <row r="469" customFormat="1" spans="1:8">
      <c r="A469" s="2">
        <v>46163</v>
      </c>
      <c r="B469" s="3">
        <v>1605220</v>
      </c>
      <c r="C469" s="3" t="s">
        <v>153</v>
      </c>
      <c r="D469" s="4">
        <v>20373481</v>
      </c>
      <c r="E469" s="3" t="s">
        <v>100</v>
      </c>
      <c r="F469" s="4">
        <v>1</v>
      </c>
      <c r="G469" s="5">
        <v>16.5</v>
      </c>
      <c r="H469" s="5">
        <f t="shared" si="7"/>
        <v>16.5</v>
      </c>
    </row>
    <row r="470" customFormat="1" spans="1:8">
      <c r="A470" s="2">
        <v>46163</v>
      </c>
      <c r="B470" s="3">
        <v>1605257</v>
      </c>
      <c r="C470" s="3" t="s">
        <v>150</v>
      </c>
      <c r="D470" s="4">
        <v>20328374</v>
      </c>
      <c r="E470" s="3" t="s">
        <v>72</v>
      </c>
      <c r="F470" s="4">
        <v>1</v>
      </c>
      <c r="G470" s="5">
        <v>264</v>
      </c>
      <c r="H470" s="5">
        <f t="shared" si="7"/>
        <v>264</v>
      </c>
    </row>
    <row r="471" customFormat="1" spans="1:8">
      <c r="A471" s="2">
        <v>46163</v>
      </c>
      <c r="B471" s="3">
        <v>1605257</v>
      </c>
      <c r="C471" s="3" t="s">
        <v>150</v>
      </c>
      <c r="D471" s="4">
        <v>20326613</v>
      </c>
      <c r="E471" s="3" t="s">
        <v>78</v>
      </c>
      <c r="F471" s="4">
        <v>3</v>
      </c>
      <c r="G471" s="5">
        <v>88</v>
      </c>
      <c r="H471" s="5">
        <f t="shared" si="7"/>
        <v>264</v>
      </c>
    </row>
    <row r="472" customFormat="1" spans="1:8">
      <c r="A472" s="2">
        <v>46163</v>
      </c>
      <c r="B472" s="3">
        <v>1605257</v>
      </c>
      <c r="C472" s="3" t="s">
        <v>150</v>
      </c>
      <c r="D472" s="4">
        <v>20318156</v>
      </c>
      <c r="E472" s="3" t="s">
        <v>112</v>
      </c>
      <c r="F472" s="4">
        <v>1</v>
      </c>
      <c r="G472" s="5">
        <v>154</v>
      </c>
      <c r="H472" s="5">
        <f t="shared" si="7"/>
        <v>154</v>
      </c>
    </row>
    <row r="473" customFormat="1" spans="1:8">
      <c r="A473" s="2">
        <v>46163</v>
      </c>
      <c r="B473" s="3">
        <v>1605257</v>
      </c>
      <c r="C473" s="3" t="s">
        <v>151</v>
      </c>
      <c r="D473" s="4">
        <v>20318250</v>
      </c>
      <c r="E473" s="3" t="s">
        <v>113</v>
      </c>
      <c r="F473" s="4">
        <v>2</v>
      </c>
      <c r="G473" s="5">
        <v>8</v>
      </c>
      <c r="H473" s="5">
        <f t="shared" si="7"/>
        <v>16</v>
      </c>
    </row>
    <row r="474" customFormat="1" spans="1:8">
      <c r="A474" s="2">
        <v>46163</v>
      </c>
      <c r="B474" s="3">
        <v>1605257</v>
      </c>
      <c r="C474" s="3" t="s">
        <v>151</v>
      </c>
      <c r="D474" s="4">
        <v>20333778</v>
      </c>
      <c r="E474" s="3" t="s">
        <v>116</v>
      </c>
      <c r="F474" s="4">
        <v>1</v>
      </c>
      <c r="G474" s="5">
        <v>16.5</v>
      </c>
      <c r="H474" s="5">
        <f t="shared" si="7"/>
        <v>16.5</v>
      </c>
    </row>
    <row r="475" customFormat="1" spans="1:8">
      <c r="A475" s="2">
        <v>46163</v>
      </c>
      <c r="B475" s="3">
        <v>1605257</v>
      </c>
      <c r="C475" s="3" t="s">
        <v>151</v>
      </c>
      <c r="D475" s="4">
        <v>20318258</v>
      </c>
      <c r="E475" s="3" t="s">
        <v>128</v>
      </c>
      <c r="F475" s="4">
        <v>1</v>
      </c>
      <c r="G475" s="5">
        <v>13</v>
      </c>
      <c r="H475" s="5">
        <f t="shared" si="7"/>
        <v>13</v>
      </c>
    </row>
    <row r="476" customFormat="1" spans="1:8">
      <c r="A476" s="2">
        <v>46163</v>
      </c>
      <c r="B476" s="3">
        <v>1605257</v>
      </c>
      <c r="C476" s="3" t="s">
        <v>151</v>
      </c>
      <c r="D476" s="4">
        <v>20329847</v>
      </c>
      <c r="E476" s="3" t="s">
        <v>129</v>
      </c>
      <c r="F476" s="4">
        <v>1</v>
      </c>
      <c r="G476" s="5">
        <v>13</v>
      </c>
      <c r="H476" s="5">
        <f t="shared" si="7"/>
        <v>13</v>
      </c>
    </row>
    <row r="477" customFormat="1" spans="1:8">
      <c r="A477" s="2">
        <v>46163</v>
      </c>
      <c r="B477" s="3">
        <v>1605257</v>
      </c>
      <c r="C477" s="3" t="s">
        <v>151</v>
      </c>
      <c r="D477" s="4">
        <v>20318231</v>
      </c>
      <c r="E477" s="3" t="s">
        <v>130</v>
      </c>
      <c r="F477" s="4">
        <v>1</v>
      </c>
      <c r="G477" s="5">
        <v>16.5</v>
      </c>
      <c r="H477" s="5">
        <f t="shared" si="7"/>
        <v>16.5</v>
      </c>
    </row>
    <row r="478" customFormat="1" spans="1:8">
      <c r="A478" s="2">
        <v>46163</v>
      </c>
      <c r="B478" s="3">
        <v>1605257</v>
      </c>
      <c r="C478" s="3" t="s">
        <v>153</v>
      </c>
      <c r="D478" s="4">
        <v>20329874</v>
      </c>
      <c r="E478" s="3" t="s">
        <v>73</v>
      </c>
      <c r="F478" s="4">
        <v>1</v>
      </c>
      <c r="G478" s="5">
        <v>16.5</v>
      </c>
      <c r="H478" s="5">
        <f t="shared" si="7"/>
        <v>16.5</v>
      </c>
    </row>
    <row r="479" customFormat="1" spans="1:8">
      <c r="A479" s="2">
        <v>46163</v>
      </c>
      <c r="B479" s="3">
        <v>1605257</v>
      </c>
      <c r="C479" s="3" t="s">
        <v>153</v>
      </c>
      <c r="D479" s="4">
        <v>20318262</v>
      </c>
      <c r="E479" s="3" t="s">
        <v>77</v>
      </c>
      <c r="F479" s="4">
        <v>1</v>
      </c>
      <c r="G479" s="5">
        <v>16.5</v>
      </c>
      <c r="H479" s="5">
        <f t="shared" si="7"/>
        <v>16.5</v>
      </c>
    </row>
    <row r="480" customFormat="1" spans="1:8">
      <c r="A480" s="14">
        <v>46163</v>
      </c>
      <c r="B480" s="15">
        <v>1605257</v>
      </c>
      <c r="C480" s="15" t="s">
        <v>153</v>
      </c>
      <c r="D480" s="16">
        <v>20014827</v>
      </c>
      <c r="E480" s="15" t="s">
        <v>84</v>
      </c>
      <c r="F480" s="16">
        <v>1</v>
      </c>
      <c r="G480" s="17">
        <v>16.5</v>
      </c>
      <c r="H480" s="17">
        <f t="shared" si="7"/>
        <v>16.5</v>
      </c>
    </row>
    <row r="481" customFormat="1" spans="1:8">
      <c r="A481" s="2">
        <v>46164</v>
      </c>
      <c r="B481" s="3">
        <v>1605470</v>
      </c>
      <c r="C481" s="3" t="s">
        <v>150</v>
      </c>
      <c r="D481" s="4">
        <v>20326613</v>
      </c>
      <c r="E481" s="3" t="s">
        <v>78</v>
      </c>
      <c r="F481" s="4">
        <v>12</v>
      </c>
      <c r="G481" s="5">
        <v>88</v>
      </c>
      <c r="H481" s="5">
        <f t="shared" si="7"/>
        <v>1056</v>
      </c>
    </row>
    <row r="482" customFormat="1" spans="1:8">
      <c r="A482" s="2">
        <v>46164</v>
      </c>
      <c r="B482" s="3">
        <v>1605470</v>
      </c>
      <c r="C482" s="3" t="s">
        <v>150</v>
      </c>
      <c r="D482" s="4">
        <v>20377845</v>
      </c>
      <c r="E482" s="3" t="s">
        <v>106</v>
      </c>
      <c r="F482" s="4">
        <v>1</v>
      </c>
      <c r="G482" s="5">
        <v>66</v>
      </c>
      <c r="H482" s="5">
        <f t="shared" si="7"/>
        <v>66</v>
      </c>
    </row>
    <row r="483" customFormat="1" spans="1:8">
      <c r="A483" s="2">
        <v>46164</v>
      </c>
      <c r="B483" s="3">
        <v>1605470</v>
      </c>
      <c r="C483" s="3" t="s">
        <v>151</v>
      </c>
      <c r="D483" s="4">
        <v>20318257</v>
      </c>
      <c r="E483" s="3" t="s">
        <v>86</v>
      </c>
      <c r="F483" s="4">
        <v>1</v>
      </c>
      <c r="G483" s="5">
        <v>8</v>
      </c>
      <c r="H483" s="5">
        <f t="shared" si="7"/>
        <v>8</v>
      </c>
    </row>
    <row r="484" customFormat="1" spans="1:8">
      <c r="A484" s="2">
        <v>46164</v>
      </c>
      <c r="B484" s="3">
        <v>1605470</v>
      </c>
      <c r="C484" s="3" t="s">
        <v>151</v>
      </c>
      <c r="D484" s="4">
        <v>20318235</v>
      </c>
      <c r="E484" s="3" t="s">
        <v>88</v>
      </c>
      <c r="F484" s="4">
        <v>2</v>
      </c>
      <c r="G484" s="5">
        <v>8</v>
      </c>
      <c r="H484" s="5">
        <f t="shared" si="7"/>
        <v>16</v>
      </c>
    </row>
    <row r="485" customFormat="1" spans="1:8">
      <c r="A485" s="2">
        <v>46164</v>
      </c>
      <c r="B485" s="3">
        <v>1605470</v>
      </c>
      <c r="C485" s="3" t="s">
        <v>151</v>
      </c>
      <c r="D485" s="4">
        <v>20329846</v>
      </c>
      <c r="E485" s="3" t="s">
        <v>90</v>
      </c>
      <c r="F485" s="4">
        <v>1</v>
      </c>
      <c r="G485" s="5">
        <v>13.5</v>
      </c>
      <c r="H485" s="5">
        <f t="shared" si="7"/>
        <v>13.5</v>
      </c>
    </row>
    <row r="486" customFormat="1" spans="1:8">
      <c r="A486" s="2">
        <v>46164</v>
      </c>
      <c r="B486" s="3">
        <v>1605470</v>
      </c>
      <c r="C486" s="3" t="s">
        <v>151</v>
      </c>
      <c r="D486" s="4">
        <v>20318250</v>
      </c>
      <c r="E486" s="3" t="s">
        <v>113</v>
      </c>
      <c r="F486" s="4">
        <v>1</v>
      </c>
      <c r="G486" s="5">
        <v>8</v>
      </c>
      <c r="H486" s="5">
        <f t="shared" si="7"/>
        <v>8</v>
      </c>
    </row>
    <row r="487" customFormat="1" spans="1:8">
      <c r="A487" s="2">
        <v>46164</v>
      </c>
      <c r="B487" s="3">
        <v>1605470</v>
      </c>
      <c r="C487" s="3" t="s">
        <v>151</v>
      </c>
      <c r="D487" s="4">
        <v>20329847</v>
      </c>
      <c r="E487" s="3" t="s">
        <v>129</v>
      </c>
      <c r="F487" s="4">
        <v>5</v>
      </c>
      <c r="G487" s="5">
        <v>13</v>
      </c>
      <c r="H487" s="5">
        <f t="shared" si="7"/>
        <v>65</v>
      </c>
    </row>
    <row r="488" customFormat="1" spans="1:8">
      <c r="A488" s="2">
        <v>46164</v>
      </c>
      <c r="B488" s="3">
        <v>1605470</v>
      </c>
      <c r="C488" s="3" t="s">
        <v>151</v>
      </c>
      <c r="D488" s="4">
        <v>20318231</v>
      </c>
      <c r="E488" s="3" t="s">
        <v>130</v>
      </c>
      <c r="F488" s="4">
        <v>2</v>
      </c>
      <c r="G488" s="5">
        <v>16.5</v>
      </c>
      <c r="H488" s="5">
        <f t="shared" si="7"/>
        <v>33</v>
      </c>
    </row>
    <row r="489" customFormat="1" spans="1:8">
      <c r="A489" s="2">
        <v>46164</v>
      </c>
      <c r="B489" s="3">
        <v>1605470</v>
      </c>
      <c r="C489" s="3" t="s">
        <v>151</v>
      </c>
      <c r="D489" s="4">
        <v>20333142</v>
      </c>
      <c r="E489" s="3" t="s">
        <v>138</v>
      </c>
      <c r="F489" s="4">
        <v>1</v>
      </c>
      <c r="G489" s="5">
        <v>22</v>
      </c>
      <c r="H489" s="5">
        <f t="shared" si="7"/>
        <v>22</v>
      </c>
    </row>
    <row r="490" customFormat="1" spans="1:8">
      <c r="A490" s="2">
        <v>46164</v>
      </c>
      <c r="B490" s="3">
        <v>1605470</v>
      </c>
      <c r="C490" s="3" t="s">
        <v>156</v>
      </c>
      <c r="D490" s="4">
        <v>20322235</v>
      </c>
      <c r="E490" s="3" t="s">
        <v>111</v>
      </c>
      <c r="F490" s="4">
        <v>6</v>
      </c>
      <c r="G490" s="5">
        <v>2.5</v>
      </c>
      <c r="H490" s="5">
        <f t="shared" si="7"/>
        <v>15</v>
      </c>
    </row>
    <row r="491" customFormat="1" spans="1:8">
      <c r="A491" s="2">
        <v>46164</v>
      </c>
      <c r="B491" s="3">
        <v>1605470</v>
      </c>
      <c r="C491" s="3" t="s">
        <v>152</v>
      </c>
      <c r="D491" s="4">
        <v>20328892</v>
      </c>
      <c r="E491" s="3" t="s">
        <v>107</v>
      </c>
      <c r="F491" s="4">
        <v>1</v>
      </c>
      <c r="G491" s="5">
        <v>88</v>
      </c>
      <c r="H491" s="5">
        <f t="shared" si="7"/>
        <v>88</v>
      </c>
    </row>
    <row r="492" customFormat="1" spans="1:8">
      <c r="A492" s="2">
        <v>46164</v>
      </c>
      <c r="B492" s="3">
        <v>1605470</v>
      </c>
      <c r="C492" s="3" t="s">
        <v>153</v>
      </c>
      <c r="D492" s="4">
        <v>20321257</v>
      </c>
      <c r="E492" s="3" t="s">
        <v>68</v>
      </c>
      <c r="F492" s="4">
        <v>7</v>
      </c>
      <c r="G492" s="5">
        <v>16.5</v>
      </c>
      <c r="H492" s="5">
        <f t="shared" si="7"/>
        <v>115.5</v>
      </c>
    </row>
    <row r="493" customFormat="1" spans="1:8">
      <c r="A493" s="2">
        <v>46164</v>
      </c>
      <c r="B493" s="3">
        <v>1605470</v>
      </c>
      <c r="C493" s="3" t="s">
        <v>153</v>
      </c>
      <c r="D493" s="4">
        <v>20329844</v>
      </c>
      <c r="E493" s="3" t="s">
        <v>70</v>
      </c>
      <c r="F493" s="4">
        <v>1</v>
      </c>
      <c r="G493" s="5">
        <v>16.5</v>
      </c>
      <c r="H493" s="5">
        <f t="shared" si="7"/>
        <v>16.5</v>
      </c>
    </row>
    <row r="494" customFormat="1" spans="1:8">
      <c r="A494" s="2">
        <v>46164</v>
      </c>
      <c r="B494" s="3">
        <v>1605470</v>
      </c>
      <c r="C494" s="3" t="s">
        <v>153</v>
      </c>
      <c r="D494" s="4">
        <v>20329874</v>
      </c>
      <c r="E494" s="3" t="s">
        <v>73</v>
      </c>
      <c r="F494" s="4">
        <v>1</v>
      </c>
      <c r="G494" s="5">
        <v>16.5</v>
      </c>
      <c r="H494" s="5">
        <f t="shared" si="7"/>
        <v>16.5</v>
      </c>
    </row>
    <row r="495" customFormat="1" spans="1:8">
      <c r="A495" s="2">
        <v>46164</v>
      </c>
      <c r="B495" s="3">
        <v>1605470</v>
      </c>
      <c r="C495" s="3" t="s">
        <v>153</v>
      </c>
      <c r="D495" s="4">
        <v>20318375</v>
      </c>
      <c r="E495" s="3" t="s">
        <v>81</v>
      </c>
      <c r="F495" s="4">
        <v>1</v>
      </c>
      <c r="G495" s="5">
        <v>16.5</v>
      </c>
      <c r="H495" s="5">
        <f t="shared" si="7"/>
        <v>16.5</v>
      </c>
    </row>
    <row r="496" customFormat="1" spans="1:8">
      <c r="A496" s="14">
        <v>46164</v>
      </c>
      <c r="B496" s="15">
        <v>1605470</v>
      </c>
      <c r="C496" s="15" t="s">
        <v>153</v>
      </c>
      <c r="D496" s="16">
        <v>20014827</v>
      </c>
      <c r="E496" s="15" t="s">
        <v>84</v>
      </c>
      <c r="F496" s="16">
        <v>1</v>
      </c>
      <c r="G496" s="17">
        <v>16.5</v>
      </c>
      <c r="H496" s="17">
        <f t="shared" si="7"/>
        <v>16.5</v>
      </c>
    </row>
    <row r="497" customFormat="1" spans="1:8">
      <c r="A497" s="14">
        <v>46164</v>
      </c>
      <c r="B497" s="15">
        <v>1605470</v>
      </c>
      <c r="C497" s="15" t="s">
        <v>153</v>
      </c>
      <c r="D497" s="16">
        <v>20014824</v>
      </c>
      <c r="E497" s="15" t="s">
        <v>85</v>
      </c>
      <c r="F497" s="16">
        <v>3</v>
      </c>
      <c r="G497" s="17">
        <v>16.5</v>
      </c>
      <c r="H497" s="17">
        <f t="shared" si="7"/>
        <v>49.5</v>
      </c>
    </row>
    <row r="498" customFormat="1" spans="1:8">
      <c r="A498" s="2">
        <v>46164</v>
      </c>
      <c r="B498" s="3">
        <v>1605470</v>
      </c>
      <c r="C498" s="3" t="s">
        <v>153</v>
      </c>
      <c r="D498" s="4">
        <v>20321688</v>
      </c>
      <c r="E498" s="3" t="s">
        <v>87</v>
      </c>
      <c r="F498" s="4">
        <v>1</v>
      </c>
      <c r="G498" s="5">
        <v>16.5</v>
      </c>
      <c r="H498" s="5">
        <f t="shared" si="7"/>
        <v>16.5</v>
      </c>
    </row>
    <row r="499" customFormat="1" spans="1:8">
      <c r="A499" s="2">
        <v>46164</v>
      </c>
      <c r="B499" s="3">
        <v>1605470</v>
      </c>
      <c r="C499" s="3" t="s">
        <v>153</v>
      </c>
      <c r="D499" s="4">
        <v>20318379</v>
      </c>
      <c r="E499" s="3" t="s">
        <v>127</v>
      </c>
      <c r="F499" s="4">
        <v>1</v>
      </c>
      <c r="G499" s="5">
        <v>16.5</v>
      </c>
      <c r="H499" s="5">
        <f t="shared" si="7"/>
        <v>16.5</v>
      </c>
    </row>
    <row r="500" customFormat="1" spans="1:8">
      <c r="A500" s="2">
        <v>46164</v>
      </c>
      <c r="B500" s="3">
        <v>1605470</v>
      </c>
      <c r="C500" s="3" t="s">
        <v>153</v>
      </c>
      <c r="D500" s="4">
        <v>20342042</v>
      </c>
      <c r="E500" s="3" t="s">
        <v>131</v>
      </c>
      <c r="F500" s="4">
        <v>3</v>
      </c>
      <c r="G500" s="5">
        <v>16.5</v>
      </c>
      <c r="H500" s="5">
        <f t="shared" si="7"/>
        <v>49.5</v>
      </c>
    </row>
    <row r="501" customFormat="1" spans="1:8">
      <c r="A501" s="2">
        <v>46164</v>
      </c>
      <c r="B501" s="3">
        <v>1605601</v>
      </c>
      <c r="C501" s="3" t="s">
        <v>150</v>
      </c>
      <c r="D501" s="4">
        <v>20328374</v>
      </c>
      <c r="E501" s="3" t="s">
        <v>72</v>
      </c>
      <c r="F501" s="4">
        <v>1</v>
      </c>
      <c r="G501" s="5">
        <v>264</v>
      </c>
      <c r="H501" s="5">
        <f t="shared" si="7"/>
        <v>264</v>
      </c>
    </row>
    <row r="502" customFormat="1" spans="1:8">
      <c r="A502" s="2">
        <v>46164</v>
      </c>
      <c r="B502" s="3">
        <v>1605601</v>
      </c>
      <c r="C502" s="3" t="s">
        <v>150</v>
      </c>
      <c r="D502" s="4">
        <v>20326613</v>
      </c>
      <c r="E502" s="3" t="s">
        <v>78</v>
      </c>
      <c r="F502" s="4">
        <v>6</v>
      </c>
      <c r="G502" s="5">
        <v>88</v>
      </c>
      <c r="H502" s="5">
        <f t="shared" si="7"/>
        <v>528</v>
      </c>
    </row>
    <row r="503" customFormat="1" spans="1:8">
      <c r="A503" s="2">
        <v>46164</v>
      </c>
      <c r="B503" s="3">
        <v>1605601</v>
      </c>
      <c r="C503" s="3" t="s">
        <v>150</v>
      </c>
      <c r="D503" s="4">
        <v>20318156</v>
      </c>
      <c r="E503" s="3" t="s">
        <v>112</v>
      </c>
      <c r="F503" s="4">
        <v>2</v>
      </c>
      <c r="G503" s="5">
        <v>154</v>
      </c>
      <c r="H503" s="5">
        <f t="shared" si="7"/>
        <v>308</v>
      </c>
    </row>
    <row r="504" customFormat="1" spans="1:8">
      <c r="A504" s="2">
        <v>46164</v>
      </c>
      <c r="B504" s="3">
        <v>1605601</v>
      </c>
      <c r="C504" s="3" t="s">
        <v>150</v>
      </c>
      <c r="D504" s="4">
        <v>20411130</v>
      </c>
      <c r="E504" s="3" t="s">
        <v>124</v>
      </c>
      <c r="F504" s="4">
        <v>1</v>
      </c>
      <c r="G504" s="5">
        <v>16.5</v>
      </c>
      <c r="H504" s="5">
        <f t="shared" si="7"/>
        <v>16.5</v>
      </c>
    </row>
    <row r="505" customFormat="1" spans="1:8">
      <c r="A505" s="2">
        <v>46164</v>
      </c>
      <c r="B505" s="3">
        <v>1605601</v>
      </c>
      <c r="C505" s="3" t="s">
        <v>150</v>
      </c>
      <c r="D505" s="4">
        <v>20411133</v>
      </c>
      <c r="E505" s="3" t="s">
        <v>126</v>
      </c>
      <c r="F505" s="4">
        <v>1</v>
      </c>
      <c r="G505" s="5">
        <v>16.5</v>
      </c>
      <c r="H505" s="5">
        <f t="shared" si="7"/>
        <v>16.5</v>
      </c>
    </row>
    <row r="506" customFormat="1" spans="1:8">
      <c r="A506" s="2">
        <v>46164</v>
      </c>
      <c r="B506" s="3">
        <v>1605601</v>
      </c>
      <c r="C506" s="3" t="s">
        <v>154</v>
      </c>
      <c r="D506" s="4">
        <v>20328192</v>
      </c>
      <c r="E506" s="3" t="s">
        <v>75</v>
      </c>
      <c r="F506" s="4">
        <v>1</v>
      </c>
      <c r="G506" s="5">
        <v>38.5</v>
      </c>
      <c r="H506" s="5">
        <f t="shared" si="7"/>
        <v>38.5</v>
      </c>
    </row>
    <row r="507" customFormat="1" spans="1:8">
      <c r="A507" s="2">
        <v>46164</v>
      </c>
      <c r="B507" s="3">
        <v>1605601</v>
      </c>
      <c r="C507" s="3" t="s">
        <v>151</v>
      </c>
      <c r="D507" s="4">
        <v>20330564</v>
      </c>
      <c r="E507" s="3" t="s">
        <v>71</v>
      </c>
      <c r="F507" s="4">
        <v>1</v>
      </c>
      <c r="G507" s="5">
        <v>16.5</v>
      </c>
      <c r="H507" s="5">
        <f t="shared" si="7"/>
        <v>16.5</v>
      </c>
    </row>
    <row r="508" customFormat="1" spans="1:8">
      <c r="A508" s="2">
        <v>46164</v>
      </c>
      <c r="B508" s="3">
        <v>1605601</v>
      </c>
      <c r="C508" s="3" t="s">
        <v>151</v>
      </c>
      <c r="D508" s="4">
        <v>20318257</v>
      </c>
      <c r="E508" s="3" t="s">
        <v>86</v>
      </c>
      <c r="F508" s="4">
        <v>1</v>
      </c>
      <c r="G508" s="5">
        <v>8</v>
      </c>
      <c r="H508" s="5">
        <f t="shared" si="7"/>
        <v>8</v>
      </c>
    </row>
    <row r="509" customFormat="1" spans="1:8">
      <c r="A509" s="2">
        <v>46164</v>
      </c>
      <c r="B509" s="3">
        <v>1605601</v>
      </c>
      <c r="C509" s="3" t="s">
        <v>151</v>
      </c>
      <c r="D509" s="4">
        <v>20318235</v>
      </c>
      <c r="E509" s="3" t="s">
        <v>88</v>
      </c>
      <c r="F509" s="4">
        <v>3</v>
      </c>
      <c r="G509" s="5">
        <v>8</v>
      </c>
      <c r="H509" s="5">
        <f t="shared" si="7"/>
        <v>24</v>
      </c>
    </row>
    <row r="510" customFormat="1" spans="1:8">
      <c r="A510" s="2">
        <v>46164</v>
      </c>
      <c r="B510" s="3">
        <v>1605601</v>
      </c>
      <c r="C510" s="3" t="s">
        <v>151</v>
      </c>
      <c r="D510" s="4">
        <v>20329981</v>
      </c>
      <c r="E510" s="3" t="s">
        <v>95</v>
      </c>
      <c r="F510" s="4">
        <v>1</v>
      </c>
      <c r="G510" s="5">
        <v>8</v>
      </c>
      <c r="H510" s="5">
        <f t="shared" si="7"/>
        <v>8</v>
      </c>
    </row>
    <row r="511" customFormat="1" spans="1:8">
      <c r="A511" s="2">
        <v>46164</v>
      </c>
      <c r="B511" s="3">
        <v>1605601</v>
      </c>
      <c r="C511" s="3" t="s">
        <v>151</v>
      </c>
      <c r="D511" s="4">
        <v>20318250</v>
      </c>
      <c r="E511" s="3" t="s">
        <v>113</v>
      </c>
      <c r="F511" s="4">
        <v>1</v>
      </c>
      <c r="G511" s="5">
        <v>8</v>
      </c>
      <c r="H511" s="5">
        <f t="shared" si="7"/>
        <v>8</v>
      </c>
    </row>
    <row r="512" customFormat="1" spans="1:8">
      <c r="A512" s="2">
        <v>46164</v>
      </c>
      <c r="B512" s="3">
        <v>1605601</v>
      </c>
      <c r="C512" s="3" t="s">
        <v>151</v>
      </c>
      <c r="D512" s="4">
        <v>20333778</v>
      </c>
      <c r="E512" s="3" t="s">
        <v>116</v>
      </c>
      <c r="F512" s="4">
        <v>3</v>
      </c>
      <c r="G512" s="5">
        <v>16.5</v>
      </c>
      <c r="H512" s="5">
        <f t="shared" si="7"/>
        <v>49.5</v>
      </c>
    </row>
    <row r="513" customFormat="1" spans="1:8">
      <c r="A513" s="2">
        <v>46164</v>
      </c>
      <c r="B513" s="3">
        <v>1605601</v>
      </c>
      <c r="C513" s="3" t="s">
        <v>151</v>
      </c>
      <c r="D513" s="4">
        <v>20329847</v>
      </c>
      <c r="E513" s="3" t="s">
        <v>129</v>
      </c>
      <c r="F513" s="4">
        <v>3</v>
      </c>
      <c r="G513" s="5">
        <v>13</v>
      </c>
      <c r="H513" s="5">
        <f t="shared" si="7"/>
        <v>39</v>
      </c>
    </row>
    <row r="514" customFormat="1" spans="1:8">
      <c r="A514" s="2">
        <v>46164</v>
      </c>
      <c r="B514" s="3">
        <v>1605601</v>
      </c>
      <c r="C514" s="3" t="s">
        <v>151</v>
      </c>
      <c r="D514" s="4">
        <v>20318231</v>
      </c>
      <c r="E514" s="3" t="s">
        <v>130</v>
      </c>
      <c r="F514" s="4">
        <v>1</v>
      </c>
      <c r="G514" s="5">
        <v>16.5</v>
      </c>
      <c r="H514" s="5">
        <f t="shared" ref="H514:H577" si="8">G514*F514</f>
        <v>16.5</v>
      </c>
    </row>
    <row r="515" customFormat="1" spans="1:8">
      <c r="A515" s="2">
        <v>46164</v>
      </c>
      <c r="B515" s="3">
        <v>1605601</v>
      </c>
      <c r="C515" s="3" t="s">
        <v>151</v>
      </c>
      <c r="D515" s="4">
        <v>20318239</v>
      </c>
      <c r="E515" s="3" t="s">
        <v>132</v>
      </c>
      <c r="F515" s="4">
        <v>1</v>
      </c>
      <c r="G515" s="5">
        <v>16.5</v>
      </c>
      <c r="H515" s="5">
        <f t="shared" si="8"/>
        <v>16.5</v>
      </c>
    </row>
    <row r="516" customFormat="1" spans="1:8">
      <c r="A516" s="2">
        <v>46164</v>
      </c>
      <c r="B516" s="3">
        <v>1605601</v>
      </c>
      <c r="C516" s="3" t="s">
        <v>151</v>
      </c>
      <c r="D516" s="4">
        <v>20367697</v>
      </c>
      <c r="E516" s="3" t="s">
        <v>133</v>
      </c>
      <c r="F516" s="4">
        <v>1</v>
      </c>
      <c r="G516" s="5">
        <v>16.5</v>
      </c>
      <c r="H516" s="5">
        <f t="shared" si="8"/>
        <v>16.5</v>
      </c>
    </row>
    <row r="517" customFormat="1" spans="1:8">
      <c r="A517" s="2">
        <v>46164</v>
      </c>
      <c r="B517" s="3">
        <v>1605601</v>
      </c>
      <c r="C517" s="3" t="s">
        <v>151</v>
      </c>
      <c r="D517" s="4">
        <v>20365390</v>
      </c>
      <c r="E517" s="3" t="s">
        <v>134</v>
      </c>
      <c r="F517" s="4">
        <v>1</v>
      </c>
      <c r="G517" s="5">
        <v>22</v>
      </c>
      <c r="H517" s="5">
        <f t="shared" si="8"/>
        <v>22</v>
      </c>
    </row>
    <row r="518" customFormat="1" spans="1:8">
      <c r="A518" s="2">
        <v>46164</v>
      </c>
      <c r="B518" s="3">
        <v>1605601</v>
      </c>
      <c r="C518" s="3" t="s">
        <v>156</v>
      </c>
      <c r="D518" s="4">
        <v>20322235</v>
      </c>
      <c r="E518" s="3" t="s">
        <v>111</v>
      </c>
      <c r="F518" s="4">
        <v>5</v>
      </c>
      <c r="G518" s="5">
        <v>2.5</v>
      </c>
      <c r="H518" s="5">
        <f t="shared" si="8"/>
        <v>12.5</v>
      </c>
    </row>
    <row r="519" customFormat="1" spans="1:8">
      <c r="A519" s="2">
        <v>46164</v>
      </c>
      <c r="B519" s="3">
        <v>1605601</v>
      </c>
      <c r="C519" s="3" t="s">
        <v>153</v>
      </c>
      <c r="D519" s="4">
        <v>20321257</v>
      </c>
      <c r="E519" s="3" t="s">
        <v>68</v>
      </c>
      <c r="F519" s="4">
        <v>1</v>
      </c>
      <c r="G519" s="5">
        <v>16.5</v>
      </c>
      <c r="H519" s="5">
        <f t="shared" si="8"/>
        <v>16.5</v>
      </c>
    </row>
    <row r="520" customFormat="1" spans="1:8">
      <c r="A520" s="2">
        <v>46164</v>
      </c>
      <c r="B520" s="3">
        <v>1605601</v>
      </c>
      <c r="C520" s="3" t="s">
        <v>153</v>
      </c>
      <c r="D520" s="4">
        <v>20329874</v>
      </c>
      <c r="E520" s="3" t="s">
        <v>73</v>
      </c>
      <c r="F520" s="4">
        <v>1</v>
      </c>
      <c r="G520" s="5">
        <v>16.5</v>
      </c>
      <c r="H520" s="5">
        <f t="shared" si="8"/>
        <v>16.5</v>
      </c>
    </row>
    <row r="521" customFormat="1" spans="1:8">
      <c r="A521" s="2">
        <v>46164</v>
      </c>
      <c r="B521" s="3">
        <v>1605601</v>
      </c>
      <c r="C521" s="3" t="s">
        <v>153</v>
      </c>
      <c r="D521" s="4">
        <v>20318262</v>
      </c>
      <c r="E521" s="3" t="s">
        <v>77</v>
      </c>
      <c r="F521" s="4">
        <v>4</v>
      </c>
      <c r="G521" s="5">
        <v>16.5</v>
      </c>
      <c r="H521" s="5">
        <f t="shared" si="8"/>
        <v>66</v>
      </c>
    </row>
    <row r="522" customFormat="1" spans="1:8">
      <c r="A522" s="2">
        <v>46164</v>
      </c>
      <c r="B522" s="3">
        <v>1605601</v>
      </c>
      <c r="C522" s="3" t="s">
        <v>153</v>
      </c>
      <c r="D522" s="4">
        <v>20321468</v>
      </c>
      <c r="E522" s="3" t="s">
        <v>89</v>
      </c>
      <c r="F522" s="4">
        <v>2</v>
      </c>
      <c r="G522" s="5">
        <v>16.5</v>
      </c>
      <c r="H522" s="5">
        <f t="shared" si="8"/>
        <v>33</v>
      </c>
    </row>
    <row r="523" customFormat="1" spans="1:8">
      <c r="A523" s="2">
        <v>46165</v>
      </c>
      <c r="B523" s="3">
        <v>1605821</v>
      </c>
      <c r="C523" s="3" t="s">
        <v>150</v>
      </c>
      <c r="D523" s="4">
        <v>20326613</v>
      </c>
      <c r="E523" s="3" t="s">
        <v>78</v>
      </c>
      <c r="F523" s="4">
        <v>2</v>
      </c>
      <c r="G523" s="5">
        <v>88</v>
      </c>
      <c r="H523" s="5">
        <f t="shared" si="8"/>
        <v>176</v>
      </c>
    </row>
    <row r="524" customFormat="1" spans="1:8">
      <c r="A524" s="2">
        <v>46165</v>
      </c>
      <c r="B524" s="3">
        <v>1605821</v>
      </c>
      <c r="C524" s="3" t="s">
        <v>151</v>
      </c>
      <c r="D524" s="4">
        <v>20329846</v>
      </c>
      <c r="E524" s="3" t="s">
        <v>90</v>
      </c>
      <c r="F524" s="4">
        <v>1</v>
      </c>
      <c r="G524" s="5">
        <v>13.5</v>
      </c>
      <c r="H524" s="5">
        <f t="shared" si="8"/>
        <v>13.5</v>
      </c>
    </row>
    <row r="525" customFormat="1" spans="1:8">
      <c r="A525" s="2">
        <v>46165</v>
      </c>
      <c r="B525" s="3">
        <v>1605821</v>
      </c>
      <c r="C525" s="3" t="s">
        <v>151</v>
      </c>
      <c r="D525" s="4">
        <v>20333142</v>
      </c>
      <c r="E525" s="3" t="s">
        <v>138</v>
      </c>
      <c r="F525" s="4">
        <v>1</v>
      </c>
      <c r="G525" s="5">
        <v>22</v>
      </c>
      <c r="H525" s="5">
        <f t="shared" si="8"/>
        <v>22</v>
      </c>
    </row>
    <row r="526" customFormat="1" spans="1:8">
      <c r="A526" s="2">
        <v>46165</v>
      </c>
      <c r="B526" s="3">
        <v>1605821</v>
      </c>
      <c r="C526" s="3" t="s">
        <v>151</v>
      </c>
      <c r="D526" s="4">
        <v>20331472</v>
      </c>
      <c r="E526" s="3" t="s">
        <v>141</v>
      </c>
      <c r="F526" s="4">
        <v>1</v>
      </c>
      <c r="G526" s="5">
        <v>8</v>
      </c>
      <c r="H526" s="5">
        <f t="shared" si="8"/>
        <v>8</v>
      </c>
    </row>
    <row r="527" customFormat="1" spans="1:8">
      <c r="A527" s="2">
        <v>46165</v>
      </c>
      <c r="B527" s="3">
        <v>1605821</v>
      </c>
      <c r="C527" s="3" t="s">
        <v>152</v>
      </c>
      <c r="D527" s="4">
        <v>20351811</v>
      </c>
      <c r="E527" s="3" t="s">
        <v>110</v>
      </c>
      <c r="F527" s="4">
        <v>2</v>
      </c>
      <c r="G527" s="5">
        <v>55</v>
      </c>
      <c r="H527" s="5">
        <f t="shared" si="8"/>
        <v>110</v>
      </c>
    </row>
    <row r="528" customFormat="1" spans="1:8">
      <c r="A528" s="2">
        <v>46165</v>
      </c>
      <c r="B528" s="3">
        <v>1605821</v>
      </c>
      <c r="C528" s="3" t="s">
        <v>153</v>
      </c>
      <c r="D528" s="4">
        <v>20321257</v>
      </c>
      <c r="E528" s="3" t="s">
        <v>68</v>
      </c>
      <c r="F528" s="4">
        <v>2</v>
      </c>
      <c r="G528" s="5">
        <v>16.5</v>
      </c>
      <c r="H528" s="5">
        <f t="shared" si="8"/>
        <v>33</v>
      </c>
    </row>
    <row r="529" customFormat="1" spans="1:8">
      <c r="A529" s="2">
        <v>46165</v>
      </c>
      <c r="B529" s="3">
        <v>1605821</v>
      </c>
      <c r="C529" s="3" t="s">
        <v>153</v>
      </c>
      <c r="D529" s="4">
        <v>20329844</v>
      </c>
      <c r="E529" s="3" t="s">
        <v>70</v>
      </c>
      <c r="F529" s="4">
        <v>1</v>
      </c>
      <c r="G529" s="5">
        <v>16.5</v>
      </c>
      <c r="H529" s="5">
        <f t="shared" si="8"/>
        <v>16.5</v>
      </c>
    </row>
    <row r="530" customFormat="1" spans="1:8">
      <c r="A530" s="2">
        <v>46165</v>
      </c>
      <c r="B530" s="3">
        <v>1605831</v>
      </c>
      <c r="C530" s="3" t="s">
        <v>150</v>
      </c>
      <c r="D530" s="4">
        <v>20326613</v>
      </c>
      <c r="E530" s="3" t="s">
        <v>78</v>
      </c>
      <c r="F530" s="4">
        <v>13</v>
      </c>
      <c r="G530" s="5">
        <v>88</v>
      </c>
      <c r="H530" s="5">
        <f t="shared" si="8"/>
        <v>1144</v>
      </c>
    </row>
    <row r="531" customFormat="1" spans="1:8">
      <c r="A531" s="2">
        <v>46165</v>
      </c>
      <c r="B531" s="3">
        <v>1605831</v>
      </c>
      <c r="C531" s="3" t="s">
        <v>150</v>
      </c>
      <c r="D531" s="4">
        <v>20377845</v>
      </c>
      <c r="E531" s="3" t="s">
        <v>106</v>
      </c>
      <c r="F531" s="4">
        <v>1</v>
      </c>
      <c r="G531" s="5">
        <v>66</v>
      </c>
      <c r="H531" s="5">
        <f t="shared" si="8"/>
        <v>66</v>
      </c>
    </row>
    <row r="532" customFormat="1" spans="1:8">
      <c r="A532" s="2">
        <v>46165</v>
      </c>
      <c r="B532" s="3">
        <v>1605831</v>
      </c>
      <c r="C532" s="3" t="s">
        <v>150</v>
      </c>
      <c r="D532" s="4">
        <v>20318156</v>
      </c>
      <c r="E532" s="3" t="s">
        <v>112</v>
      </c>
      <c r="F532" s="4">
        <v>1</v>
      </c>
      <c r="G532" s="5">
        <v>154</v>
      </c>
      <c r="H532" s="5">
        <f t="shared" si="8"/>
        <v>154</v>
      </c>
    </row>
    <row r="533" customFormat="1" spans="1:8">
      <c r="A533" s="2">
        <v>46165</v>
      </c>
      <c r="B533" s="3">
        <v>1605831</v>
      </c>
      <c r="C533" s="3" t="s">
        <v>151</v>
      </c>
      <c r="D533" s="4">
        <v>20318257</v>
      </c>
      <c r="E533" s="3" t="s">
        <v>86</v>
      </c>
      <c r="F533" s="4">
        <v>1</v>
      </c>
      <c r="G533" s="5">
        <v>8</v>
      </c>
      <c r="H533" s="5">
        <f t="shared" si="8"/>
        <v>8</v>
      </c>
    </row>
    <row r="534" customFormat="1" spans="1:8">
      <c r="A534" s="2">
        <v>46165</v>
      </c>
      <c r="B534" s="3">
        <v>1605831</v>
      </c>
      <c r="C534" s="3" t="s">
        <v>151</v>
      </c>
      <c r="D534" s="4">
        <v>20329846</v>
      </c>
      <c r="E534" s="3" t="s">
        <v>90</v>
      </c>
      <c r="F534" s="4">
        <v>1</v>
      </c>
      <c r="G534" s="5">
        <v>13.5</v>
      </c>
      <c r="H534" s="5">
        <f t="shared" si="8"/>
        <v>13.5</v>
      </c>
    </row>
    <row r="535" customFormat="1" spans="1:8">
      <c r="A535" s="2">
        <v>46165</v>
      </c>
      <c r="B535" s="3">
        <v>1605831</v>
      </c>
      <c r="C535" s="3" t="s">
        <v>151</v>
      </c>
      <c r="D535" s="4">
        <v>20351064</v>
      </c>
      <c r="E535" s="3" t="s">
        <v>99</v>
      </c>
      <c r="F535" s="4">
        <v>1</v>
      </c>
      <c r="G535" s="5">
        <v>13.5</v>
      </c>
      <c r="H535" s="5">
        <f t="shared" si="8"/>
        <v>13.5</v>
      </c>
    </row>
    <row r="536" customFormat="1" spans="1:8">
      <c r="A536" s="2">
        <v>46165</v>
      </c>
      <c r="B536" s="3">
        <v>1605831</v>
      </c>
      <c r="C536" s="3" t="s">
        <v>151</v>
      </c>
      <c r="D536" s="4">
        <v>20331668</v>
      </c>
      <c r="E536" s="3" t="s">
        <v>115</v>
      </c>
      <c r="F536" s="4">
        <v>2</v>
      </c>
      <c r="G536" s="5">
        <v>8</v>
      </c>
      <c r="H536" s="5">
        <f t="shared" si="8"/>
        <v>16</v>
      </c>
    </row>
    <row r="537" customFormat="1" spans="1:8">
      <c r="A537" s="2">
        <v>46165</v>
      </c>
      <c r="B537" s="3">
        <v>1605831</v>
      </c>
      <c r="C537" s="3" t="s">
        <v>151</v>
      </c>
      <c r="D537" s="4">
        <v>20333778</v>
      </c>
      <c r="E537" s="3" t="s">
        <v>116</v>
      </c>
      <c r="F537" s="4">
        <v>1</v>
      </c>
      <c r="G537" s="5">
        <v>16.5</v>
      </c>
      <c r="H537" s="5">
        <f t="shared" si="8"/>
        <v>16.5</v>
      </c>
    </row>
    <row r="538" customFormat="1" spans="1:8">
      <c r="A538" s="2">
        <v>46165</v>
      </c>
      <c r="B538" s="3">
        <v>1605831</v>
      </c>
      <c r="C538" s="3" t="s">
        <v>151</v>
      </c>
      <c r="D538" s="4">
        <v>20329847</v>
      </c>
      <c r="E538" s="3" t="s">
        <v>129</v>
      </c>
      <c r="F538" s="4">
        <v>3</v>
      </c>
      <c r="G538" s="5">
        <v>13</v>
      </c>
      <c r="H538" s="5">
        <f t="shared" si="8"/>
        <v>39</v>
      </c>
    </row>
    <row r="539" customFormat="1" spans="1:8">
      <c r="A539" s="2">
        <v>46165</v>
      </c>
      <c r="B539" s="3">
        <v>1605831</v>
      </c>
      <c r="C539" s="3" t="s">
        <v>151</v>
      </c>
      <c r="D539" s="4">
        <v>20318231</v>
      </c>
      <c r="E539" s="3" t="s">
        <v>130</v>
      </c>
      <c r="F539" s="4">
        <v>3</v>
      </c>
      <c r="G539" s="5">
        <v>16.5</v>
      </c>
      <c r="H539" s="5">
        <f t="shared" si="8"/>
        <v>49.5</v>
      </c>
    </row>
    <row r="540" customFormat="1" spans="1:8">
      <c r="A540" s="2">
        <v>46165</v>
      </c>
      <c r="B540" s="3">
        <v>1605831</v>
      </c>
      <c r="C540" s="3" t="s">
        <v>152</v>
      </c>
      <c r="D540" s="4">
        <v>20419674</v>
      </c>
      <c r="E540" s="3" t="s">
        <v>104</v>
      </c>
      <c r="F540" s="4">
        <v>1</v>
      </c>
      <c r="G540" s="5">
        <v>66</v>
      </c>
      <c r="H540" s="5">
        <f t="shared" si="8"/>
        <v>66</v>
      </c>
    </row>
    <row r="541" customFormat="1" spans="1:8">
      <c r="A541" s="2">
        <v>46165</v>
      </c>
      <c r="B541" s="3">
        <v>1605831</v>
      </c>
      <c r="C541" s="3" t="s">
        <v>152</v>
      </c>
      <c r="D541" s="4">
        <v>20328892</v>
      </c>
      <c r="E541" s="3" t="s">
        <v>107</v>
      </c>
      <c r="F541" s="4">
        <v>1</v>
      </c>
      <c r="G541" s="5">
        <v>88</v>
      </c>
      <c r="H541" s="5">
        <f t="shared" si="8"/>
        <v>88</v>
      </c>
    </row>
    <row r="542" customFormat="1" spans="1:8">
      <c r="A542" s="2">
        <v>46165</v>
      </c>
      <c r="B542" s="3">
        <v>1605831</v>
      </c>
      <c r="C542" s="3" t="s">
        <v>152</v>
      </c>
      <c r="D542" s="4">
        <v>20351811</v>
      </c>
      <c r="E542" s="3" t="s">
        <v>110</v>
      </c>
      <c r="F542" s="4">
        <v>2</v>
      </c>
      <c r="G542" s="5">
        <v>55</v>
      </c>
      <c r="H542" s="5">
        <f t="shared" si="8"/>
        <v>110</v>
      </c>
    </row>
    <row r="543" customFormat="1" spans="1:8">
      <c r="A543" s="2">
        <v>46165</v>
      </c>
      <c r="B543" s="3">
        <v>1605831</v>
      </c>
      <c r="C543" s="3" t="s">
        <v>153</v>
      </c>
      <c r="D543" s="4">
        <v>20321257</v>
      </c>
      <c r="E543" s="3" t="s">
        <v>68</v>
      </c>
      <c r="F543" s="4">
        <v>6</v>
      </c>
      <c r="G543" s="5">
        <v>16.5</v>
      </c>
      <c r="H543" s="5">
        <f t="shared" si="8"/>
        <v>99</v>
      </c>
    </row>
    <row r="544" customFormat="1" spans="1:8">
      <c r="A544" s="2">
        <v>46165</v>
      </c>
      <c r="B544" s="3">
        <v>1605831</v>
      </c>
      <c r="C544" s="3" t="s">
        <v>153</v>
      </c>
      <c r="D544" s="4">
        <v>20318375</v>
      </c>
      <c r="E544" s="3" t="s">
        <v>81</v>
      </c>
      <c r="F544" s="4">
        <v>1</v>
      </c>
      <c r="G544" s="5">
        <v>16.5</v>
      </c>
      <c r="H544" s="5">
        <f t="shared" si="8"/>
        <v>16.5</v>
      </c>
    </row>
    <row r="545" customFormat="1" spans="1:8">
      <c r="A545" s="14">
        <v>46165</v>
      </c>
      <c r="B545" s="15">
        <v>1605831</v>
      </c>
      <c r="C545" s="15" t="s">
        <v>153</v>
      </c>
      <c r="D545" s="16">
        <v>20014824</v>
      </c>
      <c r="E545" s="15" t="s">
        <v>85</v>
      </c>
      <c r="F545" s="16">
        <v>3</v>
      </c>
      <c r="G545" s="17">
        <v>16.5</v>
      </c>
      <c r="H545" s="17">
        <f t="shared" si="8"/>
        <v>49.5</v>
      </c>
    </row>
    <row r="546" customFormat="1" spans="1:8">
      <c r="A546" s="2">
        <v>46165</v>
      </c>
      <c r="B546" s="3">
        <v>1605831</v>
      </c>
      <c r="C546" s="3" t="s">
        <v>153</v>
      </c>
      <c r="D546" s="4">
        <v>20318197</v>
      </c>
      <c r="E546" s="3" t="s">
        <v>119</v>
      </c>
      <c r="F546" s="4">
        <v>1</v>
      </c>
      <c r="G546" s="5">
        <v>16.5</v>
      </c>
      <c r="H546" s="5">
        <f t="shared" si="8"/>
        <v>16.5</v>
      </c>
    </row>
    <row r="547" customFormat="1" spans="1:8">
      <c r="A547" s="2">
        <v>46165</v>
      </c>
      <c r="B547" s="3">
        <v>1605831</v>
      </c>
      <c r="C547" s="3" t="s">
        <v>153</v>
      </c>
      <c r="D547" s="4">
        <v>20342042</v>
      </c>
      <c r="E547" s="3" t="s">
        <v>131</v>
      </c>
      <c r="F547" s="4">
        <v>3</v>
      </c>
      <c r="G547" s="5">
        <v>16.5</v>
      </c>
      <c r="H547" s="5">
        <f t="shared" si="8"/>
        <v>49.5</v>
      </c>
    </row>
    <row r="548" customFormat="1" spans="1:8">
      <c r="A548" s="2">
        <v>46166</v>
      </c>
      <c r="B548" s="3">
        <v>1605924</v>
      </c>
      <c r="C548" s="3" t="s">
        <v>150</v>
      </c>
      <c r="D548" s="4">
        <v>20326613</v>
      </c>
      <c r="E548" s="3" t="s">
        <v>78</v>
      </c>
      <c r="F548" s="4">
        <v>9</v>
      </c>
      <c r="G548" s="5">
        <v>88</v>
      </c>
      <c r="H548" s="5">
        <f t="shared" si="8"/>
        <v>792</v>
      </c>
    </row>
    <row r="549" customFormat="1" spans="1:8">
      <c r="A549" s="2">
        <v>46166</v>
      </c>
      <c r="B549" s="3">
        <v>1605924</v>
      </c>
      <c r="C549" s="3" t="s">
        <v>150</v>
      </c>
      <c r="D549" s="4">
        <v>20377845</v>
      </c>
      <c r="E549" s="3" t="s">
        <v>106</v>
      </c>
      <c r="F549" s="4">
        <v>1</v>
      </c>
      <c r="G549" s="5">
        <v>66</v>
      </c>
      <c r="H549" s="5">
        <f t="shared" si="8"/>
        <v>66</v>
      </c>
    </row>
    <row r="550" customFormat="1" spans="1:8">
      <c r="A550" s="2">
        <v>46166</v>
      </c>
      <c r="B550" s="3">
        <v>1605924</v>
      </c>
      <c r="C550" s="3" t="s">
        <v>154</v>
      </c>
      <c r="D550" s="4">
        <v>20328192</v>
      </c>
      <c r="E550" s="3" t="s">
        <v>75</v>
      </c>
      <c r="F550" s="4">
        <v>1</v>
      </c>
      <c r="G550" s="5">
        <v>38.5</v>
      </c>
      <c r="H550" s="5">
        <f t="shared" si="8"/>
        <v>38.5</v>
      </c>
    </row>
    <row r="551" customFormat="1" spans="1:8">
      <c r="A551" s="2">
        <v>46166</v>
      </c>
      <c r="B551" s="3">
        <v>1605924</v>
      </c>
      <c r="C551" s="3" t="s">
        <v>151</v>
      </c>
      <c r="D551" s="4">
        <v>20318235</v>
      </c>
      <c r="E551" s="3" t="s">
        <v>88</v>
      </c>
      <c r="F551" s="4">
        <v>2</v>
      </c>
      <c r="G551" s="5">
        <v>8</v>
      </c>
      <c r="H551" s="5">
        <f t="shared" si="8"/>
        <v>16</v>
      </c>
    </row>
    <row r="552" customFormat="1" spans="1:8">
      <c r="A552" s="2">
        <v>46166</v>
      </c>
      <c r="B552" s="3">
        <v>1605924</v>
      </c>
      <c r="C552" s="3" t="s">
        <v>151</v>
      </c>
      <c r="D552" s="4">
        <v>20318231</v>
      </c>
      <c r="E552" s="3" t="s">
        <v>130</v>
      </c>
      <c r="F552" s="4">
        <v>1</v>
      </c>
      <c r="G552" s="5">
        <v>16.5</v>
      </c>
      <c r="H552" s="5">
        <f t="shared" si="8"/>
        <v>16.5</v>
      </c>
    </row>
    <row r="553" customFormat="1" spans="1:8">
      <c r="A553" s="2">
        <v>46166</v>
      </c>
      <c r="B553" s="3">
        <v>1605924</v>
      </c>
      <c r="C553" s="3" t="s">
        <v>153</v>
      </c>
      <c r="D553" s="4">
        <v>20321257</v>
      </c>
      <c r="E553" s="3" t="s">
        <v>68</v>
      </c>
      <c r="F553" s="4">
        <v>1</v>
      </c>
      <c r="G553" s="5">
        <v>16.5</v>
      </c>
      <c r="H553" s="5">
        <f t="shared" si="8"/>
        <v>16.5</v>
      </c>
    </row>
    <row r="554" customFormat="1" spans="1:8">
      <c r="A554" s="14">
        <v>46166</v>
      </c>
      <c r="B554" s="15">
        <v>1605924</v>
      </c>
      <c r="C554" s="15" t="s">
        <v>153</v>
      </c>
      <c r="D554" s="16">
        <v>20318229</v>
      </c>
      <c r="E554" s="15" t="s">
        <v>76</v>
      </c>
      <c r="F554" s="16">
        <v>1</v>
      </c>
      <c r="G554" s="17">
        <v>16.5</v>
      </c>
      <c r="H554" s="17">
        <f t="shared" si="8"/>
        <v>16.5</v>
      </c>
    </row>
    <row r="555" customFormat="1" spans="1:8">
      <c r="A555" s="2">
        <v>46166</v>
      </c>
      <c r="B555" s="3">
        <v>1605924</v>
      </c>
      <c r="C555" s="3" t="s">
        <v>153</v>
      </c>
      <c r="D555" s="4">
        <v>20318262</v>
      </c>
      <c r="E555" s="3" t="s">
        <v>77</v>
      </c>
      <c r="F555" s="4">
        <v>1</v>
      </c>
      <c r="G555" s="5">
        <v>16.5</v>
      </c>
      <c r="H555" s="5">
        <f t="shared" si="8"/>
        <v>16.5</v>
      </c>
    </row>
    <row r="556" customFormat="1" spans="1:8">
      <c r="A556" s="14">
        <v>46166</v>
      </c>
      <c r="B556" s="15">
        <v>1605924</v>
      </c>
      <c r="C556" s="15" t="s">
        <v>153</v>
      </c>
      <c r="D556" s="16">
        <v>20014827</v>
      </c>
      <c r="E556" s="15" t="s">
        <v>84</v>
      </c>
      <c r="F556" s="16">
        <v>1</v>
      </c>
      <c r="G556" s="17">
        <v>16.5</v>
      </c>
      <c r="H556" s="17">
        <f t="shared" si="8"/>
        <v>16.5</v>
      </c>
    </row>
    <row r="557" customFormat="1" spans="1:8">
      <c r="A557" s="2">
        <v>46166</v>
      </c>
      <c r="B557" s="3">
        <v>1605924</v>
      </c>
      <c r="C557" s="3" t="s">
        <v>153</v>
      </c>
      <c r="D557" s="4">
        <v>20321688</v>
      </c>
      <c r="E557" s="3" t="s">
        <v>87</v>
      </c>
      <c r="F557" s="4">
        <v>2</v>
      </c>
      <c r="G557" s="5">
        <v>16.5</v>
      </c>
      <c r="H557" s="5">
        <f t="shared" si="8"/>
        <v>33</v>
      </c>
    </row>
    <row r="558" customFormat="1" spans="1:8">
      <c r="A558" s="2">
        <v>46167</v>
      </c>
      <c r="B558" s="3">
        <v>1606018</v>
      </c>
      <c r="C558" s="3" t="s">
        <v>150</v>
      </c>
      <c r="D558" s="4">
        <v>20326613</v>
      </c>
      <c r="E558" s="3" t="s">
        <v>78</v>
      </c>
      <c r="F558" s="4">
        <v>7</v>
      </c>
      <c r="G558" s="5">
        <v>88</v>
      </c>
      <c r="H558" s="5">
        <f t="shared" si="8"/>
        <v>616</v>
      </c>
    </row>
    <row r="559" customFormat="1" spans="1:8">
      <c r="A559" s="2">
        <v>46167</v>
      </c>
      <c r="B559" s="3">
        <v>1606018</v>
      </c>
      <c r="C559" s="3" t="s">
        <v>151</v>
      </c>
      <c r="D559" s="4">
        <v>20318257</v>
      </c>
      <c r="E559" s="3" t="s">
        <v>86</v>
      </c>
      <c r="F559" s="4">
        <v>2</v>
      </c>
      <c r="G559" s="5">
        <v>8</v>
      </c>
      <c r="H559" s="5">
        <f t="shared" si="8"/>
        <v>16</v>
      </c>
    </row>
    <row r="560" customFormat="1" spans="1:8">
      <c r="A560" s="2">
        <v>46167</v>
      </c>
      <c r="B560" s="3">
        <v>1606018</v>
      </c>
      <c r="C560" s="3" t="s">
        <v>151</v>
      </c>
      <c r="D560" s="4">
        <v>20318235</v>
      </c>
      <c r="E560" s="3" t="s">
        <v>88</v>
      </c>
      <c r="F560" s="4">
        <v>1</v>
      </c>
      <c r="G560" s="5">
        <v>8</v>
      </c>
      <c r="H560" s="5">
        <f t="shared" si="8"/>
        <v>8</v>
      </c>
    </row>
    <row r="561" customFormat="1" spans="1:8">
      <c r="A561" s="2">
        <v>46167</v>
      </c>
      <c r="B561" s="3">
        <v>1606018</v>
      </c>
      <c r="C561" s="3" t="s">
        <v>151</v>
      </c>
      <c r="D561" s="4">
        <v>20329846</v>
      </c>
      <c r="E561" s="3" t="s">
        <v>90</v>
      </c>
      <c r="F561" s="4">
        <v>2</v>
      </c>
      <c r="G561" s="5">
        <v>13.5</v>
      </c>
      <c r="H561" s="5">
        <f t="shared" si="8"/>
        <v>27</v>
      </c>
    </row>
    <row r="562" customFormat="1" spans="1:8">
      <c r="A562" s="2">
        <v>46167</v>
      </c>
      <c r="B562" s="3">
        <v>1606018</v>
      </c>
      <c r="C562" s="3" t="s">
        <v>151</v>
      </c>
      <c r="D562" s="4">
        <v>20329843</v>
      </c>
      <c r="E562" s="3" t="s">
        <v>92</v>
      </c>
      <c r="F562" s="4">
        <v>1</v>
      </c>
      <c r="G562" s="5">
        <v>11</v>
      </c>
      <c r="H562" s="5">
        <f t="shared" si="8"/>
        <v>11</v>
      </c>
    </row>
    <row r="563" customFormat="1" spans="1:8">
      <c r="A563" s="2">
        <v>46167</v>
      </c>
      <c r="B563" s="3">
        <v>1606018</v>
      </c>
      <c r="C563" s="3" t="s">
        <v>151</v>
      </c>
      <c r="D563" s="4">
        <v>20329845</v>
      </c>
      <c r="E563" s="3" t="s">
        <v>94</v>
      </c>
      <c r="F563" s="4">
        <v>1</v>
      </c>
      <c r="G563" s="5">
        <v>8</v>
      </c>
      <c r="H563" s="5">
        <f t="shared" si="8"/>
        <v>8</v>
      </c>
    </row>
    <row r="564" customFormat="1" spans="1:8">
      <c r="A564" s="2">
        <v>46167</v>
      </c>
      <c r="B564" s="3">
        <v>1606018</v>
      </c>
      <c r="C564" s="3" t="s">
        <v>151</v>
      </c>
      <c r="D564" s="4">
        <v>20331668</v>
      </c>
      <c r="E564" s="3" t="s">
        <v>115</v>
      </c>
      <c r="F564" s="4">
        <v>2</v>
      </c>
      <c r="G564" s="5">
        <v>8</v>
      </c>
      <c r="H564" s="5">
        <f t="shared" si="8"/>
        <v>16</v>
      </c>
    </row>
    <row r="565" customFormat="1" spans="1:8">
      <c r="A565" s="2">
        <v>46167</v>
      </c>
      <c r="B565" s="3">
        <v>1606018</v>
      </c>
      <c r="C565" s="3" t="s">
        <v>151</v>
      </c>
      <c r="D565" s="4">
        <v>20333778</v>
      </c>
      <c r="E565" s="3" t="s">
        <v>116</v>
      </c>
      <c r="F565" s="4">
        <v>3</v>
      </c>
      <c r="G565" s="5">
        <v>16.5</v>
      </c>
      <c r="H565" s="5">
        <f t="shared" si="8"/>
        <v>49.5</v>
      </c>
    </row>
    <row r="566" customFormat="1" spans="1:8">
      <c r="A566" s="2">
        <v>46167</v>
      </c>
      <c r="B566" s="3">
        <v>1606018</v>
      </c>
      <c r="C566" s="3" t="s">
        <v>151</v>
      </c>
      <c r="D566" s="4">
        <v>20329847</v>
      </c>
      <c r="E566" s="3" t="s">
        <v>129</v>
      </c>
      <c r="F566" s="4">
        <v>2</v>
      </c>
      <c r="G566" s="5">
        <v>13</v>
      </c>
      <c r="H566" s="5">
        <f t="shared" si="8"/>
        <v>26</v>
      </c>
    </row>
    <row r="567" customFormat="1" spans="1:8">
      <c r="A567" s="2">
        <v>46167</v>
      </c>
      <c r="B567" s="3">
        <v>1606018</v>
      </c>
      <c r="C567" s="3" t="s">
        <v>151</v>
      </c>
      <c r="D567" s="4">
        <v>20318231</v>
      </c>
      <c r="E567" s="3" t="s">
        <v>130</v>
      </c>
      <c r="F567" s="4">
        <v>2</v>
      </c>
      <c r="G567" s="5">
        <v>16.5</v>
      </c>
      <c r="H567" s="5">
        <f t="shared" si="8"/>
        <v>33</v>
      </c>
    </row>
    <row r="568" customFormat="1" spans="1:8">
      <c r="A568" s="2">
        <v>46167</v>
      </c>
      <c r="B568" s="3">
        <v>1606018</v>
      </c>
      <c r="C568" s="3" t="s">
        <v>155</v>
      </c>
      <c r="D568" s="4">
        <v>20322228</v>
      </c>
      <c r="E568" s="3" t="s">
        <v>74</v>
      </c>
      <c r="F568" s="4">
        <v>1</v>
      </c>
      <c r="G568" s="5">
        <v>15</v>
      </c>
      <c r="H568" s="5">
        <f t="shared" si="8"/>
        <v>15</v>
      </c>
    </row>
    <row r="569" customFormat="1" spans="1:8">
      <c r="A569" s="2">
        <v>46167</v>
      </c>
      <c r="B569" s="3">
        <v>1606018</v>
      </c>
      <c r="C569" s="3" t="s">
        <v>152</v>
      </c>
      <c r="D569" s="4">
        <v>20351811</v>
      </c>
      <c r="E569" s="3" t="s">
        <v>110</v>
      </c>
      <c r="F569" s="4">
        <v>5</v>
      </c>
      <c r="G569" s="5">
        <v>55</v>
      </c>
      <c r="H569" s="5">
        <f t="shared" si="8"/>
        <v>275</v>
      </c>
    </row>
    <row r="570" customFormat="1" spans="1:8">
      <c r="A570" s="2">
        <v>46167</v>
      </c>
      <c r="B570" s="3">
        <v>1606018</v>
      </c>
      <c r="C570" s="3" t="s">
        <v>153</v>
      </c>
      <c r="D570" s="4">
        <v>20321257</v>
      </c>
      <c r="E570" s="3" t="s">
        <v>68</v>
      </c>
      <c r="F570" s="4">
        <v>2</v>
      </c>
      <c r="G570" s="5">
        <v>16.5</v>
      </c>
      <c r="H570" s="5">
        <f t="shared" si="8"/>
        <v>33</v>
      </c>
    </row>
    <row r="571" customFormat="1" spans="1:8">
      <c r="A571" s="14">
        <v>46167</v>
      </c>
      <c r="B571" s="15">
        <v>1606018</v>
      </c>
      <c r="C571" s="15" t="s">
        <v>153</v>
      </c>
      <c r="D571" s="16">
        <v>20318229</v>
      </c>
      <c r="E571" s="15" t="s">
        <v>76</v>
      </c>
      <c r="F571" s="16">
        <v>3</v>
      </c>
      <c r="G571" s="17">
        <v>16.5</v>
      </c>
      <c r="H571" s="17">
        <f t="shared" si="8"/>
        <v>49.5</v>
      </c>
    </row>
    <row r="572" customFormat="1" spans="1:8">
      <c r="A572" s="14">
        <v>46167</v>
      </c>
      <c r="B572" s="15">
        <v>1606018</v>
      </c>
      <c r="C572" s="15" t="s">
        <v>153</v>
      </c>
      <c r="D572" s="16">
        <v>20014827</v>
      </c>
      <c r="E572" s="15" t="s">
        <v>84</v>
      </c>
      <c r="F572" s="16">
        <v>1</v>
      </c>
      <c r="G572" s="17">
        <v>16.5</v>
      </c>
      <c r="H572" s="17">
        <f t="shared" si="8"/>
        <v>16.5</v>
      </c>
    </row>
    <row r="573" customFormat="1" spans="1:8">
      <c r="A573" s="2">
        <v>46167</v>
      </c>
      <c r="B573" s="3">
        <v>1606018</v>
      </c>
      <c r="C573" s="3" t="s">
        <v>153</v>
      </c>
      <c r="D573" s="4">
        <v>20318379</v>
      </c>
      <c r="E573" s="3" t="s">
        <v>127</v>
      </c>
      <c r="F573" s="4">
        <v>1</v>
      </c>
      <c r="G573" s="5">
        <v>16.5</v>
      </c>
      <c r="H573" s="5">
        <f t="shared" si="8"/>
        <v>16.5</v>
      </c>
    </row>
    <row r="574" customFormat="1" spans="1:8">
      <c r="A574" s="2">
        <v>46167</v>
      </c>
      <c r="B574" s="3">
        <v>1606018</v>
      </c>
      <c r="C574" s="3" t="s">
        <v>153</v>
      </c>
      <c r="D574" s="4">
        <v>20342042</v>
      </c>
      <c r="E574" s="3" t="s">
        <v>131</v>
      </c>
      <c r="F574" s="4">
        <v>2</v>
      </c>
      <c r="G574" s="5">
        <v>16.5</v>
      </c>
      <c r="H574" s="5">
        <f t="shared" si="8"/>
        <v>33</v>
      </c>
    </row>
    <row r="575" customFormat="1" spans="1:8">
      <c r="A575" s="2">
        <v>46167</v>
      </c>
      <c r="B575" s="3">
        <v>1606109</v>
      </c>
      <c r="C575" s="3" t="s">
        <v>150</v>
      </c>
      <c r="D575" s="4">
        <v>20326613</v>
      </c>
      <c r="E575" s="3" t="s">
        <v>78</v>
      </c>
      <c r="F575" s="4">
        <v>3</v>
      </c>
      <c r="G575" s="5">
        <v>88</v>
      </c>
      <c r="H575" s="5">
        <f t="shared" si="8"/>
        <v>264</v>
      </c>
    </row>
    <row r="576" customFormat="1" spans="1:8">
      <c r="A576" s="2">
        <v>46167</v>
      </c>
      <c r="B576" s="3">
        <v>1606109</v>
      </c>
      <c r="C576" s="3" t="s">
        <v>150</v>
      </c>
      <c r="D576" s="4">
        <v>20318156</v>
      </c>
      <c r="E576" s="3" t="s">
        <v>112</v>
      </c>
      <c r="F576" s="4">
        <v>1</v>
      </c>
      <c r="G576" s="5">
        <v>154</v>
      </c>
      <c r="H576" s="5">
        <f t="shared" si="8"/>
        <v>154</v>
      </c>
    </row>
    <row r="577" customFormat="1" spans="1:8">
      <c r="A577" s="2">
        <v>46167</v>
      </c>
      <c r="B577" s="3">
        <v>1606109</v>
      </c>
      <c r="C577" s="3" t="s">
        <v>150</v>
      </c>
      <c r="D577" s="4">
        <v>20312951</v>
      </c>
      <c r="E577" s="3" t="s">
        <v>121</v>
      </c>
      <c r="F577" s="4">
        <v>1</v>
      </c>
      <c r="G577" s="5">
        <v>165</v>
      </c>
      <c r="H577" s="5">
        <f t="shared" si="8"/>
        <v>165</v>
      </c>
    </row>
    <row r="578" customFormat="1" spans="1:8">
      <c r="A578" s="2">
        <v>46167</v>
      </c>
      <c r="B578" s="3">
        <v>1606109</v>
      </c>
      <c r="C578" s="3" t="s">
        <v>151</v>
      </c>
      <c r="D578" s="4">
        <v>20318235</v>
      </c>
      <c r="E578" s="3" t="s">
        <v>88</v>
      </c>
      <c r="F578" s="4">
        <v>1</v>
      </c>
      <c r="G578" s="5">
        <v>8</v>
      </c>
      <c r="H578" s="5">
        <f t="shared" ref="H578:H641" si="9">G578*F578</f>
        <v>8</v>
      </c>
    </row>
    <row r="579" customFormat="1" spans="1:8">
      <c r="A579" s="2">
        <v>46167</v>
      </c>
      <c r="B579" s="3">
        <v>1606109</v>
      </c>
      <c r="C579" s="3" t="s">
        <v>151</v>
      </c>
      <c r="D579" s="4">
        <v>20329847</v>
      </c>
      <c r="E579" s="3" t="s">
        <v>129</v>
      </c>
      <c r="F579" s="4">
        <v>2</v>
      </c>
      <c r="G579" s="5">
        <v>13</v>
      </c>
      <c r="H579" s="5">
        <f t="shared" si="9"/>
        <v>26</v>
      </c>
    </row>
    <row r="580" customFormat="1" spans="1:8">
      <c r="A580" s="2">
        <v>46167</v>
      </c>
      <c r="B580" s="3">
        <v>1606109</v>
      </c>
      <c r="C580" s="3" t="s">
        <v>152</v>
      </c>
      <c r="D580" s="4">
        <v>20351811</v>
      </c>
      <c r="E580" s="3" t="s">
        <v>110</v>
      </c>
      <c r="F580" s="4">
        <v>1</v>
      </c>
      <c r="G580" s="5">
        <v>55</v>
      </c>
      <c r="H580" s="5">
        <f t="shared" si="9"/>
        <v>55</v>
      </c>
    </row>
    <row r="581" customFormat="1" spans="1:8">
      <c r="A581" s="2">
        <v>46167</v>
      </c>
      <c r="B581" s="3">
        <v>1606109</v>
      </c>
      <c r="C581" s="3" t="s">
        <v>153</v>
      </c>
      <c r="D581" s="4">
        <v>20329874</v>
      </c>
      <c r="E581" s="3" t="s">
        <v>73</v>
      </c>
      <c r="F581" s="4">
        <v>1</v>
      </c>
      <c r="G581" s="5">
        <v>16.5</v>
      </c>
      <c r="H581" s="5">
        <f t="shared" si="9"/>
        <v>16.5</v>
      </c>
    </row>
    <row r="582" customFormat="1" spans="1:8">
      <c r="A582" s="2">
        <v>46167</v>
      </c>
      <c r="B582" s="3">
        <v>1606109</v>
      </c>
      <c r="C582" s="3" t="s">
        <v>153</v>
      </c>
      <c r="D582" s="4">
        <v>20318262</v>
      </c>
      <c r="E582" s="3" t="s">
        <v>77</v>
      </c>
      <c r="F582" s="4">
        <v>4</v>
      </c>
      <c r="G582" s="5">
        <v>16.5</v>
      </c>
      <c r="H582" s="5">
        <f t="shared" si="9"/>
        <v>66</v>
      </c>
    </row>
    <row r="583" customFormat="1" spans="1:8">
      <c r="A583" s="2">
        <v>46167</v>
      </c>
      <c r="B583" s="3">
        <v>1606109</v>
      </c>
      <c r="C583" s="3" t="s">
        <v>153</v>
      </c>
      <c r="D583" s="4">
        <v>20318241</v>
      </c>
      <c r="E583" s="3" t="s">
        <v>83</v>
      </c>
      <c r="F583" s="4">
        <v>1</v>
      </c>
      <c r="G583" s="5">
        <v>16.5</v>
      </c>
      <c r="H583" s="5">
        <f t="shared" si="9"/>
        <v>16.5</v>
      </c>
    </row>
    <row r="584" customFormat="1" spans="1:8">
      <c r="A584" s="2">
        <v>46167</v>
      </c>
      <c r="B584" s="3">
        <v>1606109</v>
      </c>
      <c r="C584" s="3" t="s">
        <v>153</v>
      </c>
      <c r="D584" s="4">
        <v>20321468</v>
      </c>
      <c r="E584" s="3" t="s">
        <v>89</v>
      </c>
      <c r="F584" s="4">
        <v>1</v>
      </c>
      <c r="G584" s="5">
        <v>16.5</v>
      </c>
      <c r="H584" s="5">
        <f t="shared" si="9"/>
        <v>16.5</v>
      </c>
    </row>
    <row r="585" customFormat="1" spans="1:8">
      <c r="A585" s="2">
        <v>46167</v>
      </c>
      <c r="B585" s="3">
        <v>1606168</v>
      </c>
      <c r="C585" s="3" t="s">
        <v>150</v>
      </c>
      <c r="D585" s="4">
        <v>20326613</v>
      </c>
      <c r="E585" s="3" t="s">
        <v>78</v>
      </c>
      <c r="F585" s="4">
        <v>3</v>
      </c>
      <c r="G585" s="5">
        <v>88</v>
      </c>
      <c r="H585" s="5">
        <f t="shared" si="9"/>
        <v>264</v>
      </c>
    </row>
    <row r="586" customFormat="1" spans="1:8">
      <c r="A586" s="2">
        <v>46167</v>
      </c>
      <c r="B586" s="3">
        <v>1606168</v>
      </c>
      <c r="C586" s="3" t="s">
        <v>150</v>
      </c>
      <c r="D586" s="4">
        <v>20340902</v>
      </c>
      <c r="E586" s="3" t="s">
        <v>79</v>
      </c>
      <c r="F586" s="4">
        <v>1</v>
      </c>
      <c r="G586" s="5">
        <v>104.5</v>
      </c>
      <c r="H586" s="5">
        <f t="shared" si="9"/>
        <v>104.5</v>
      </c>
    </row>
    <row r="587" customFormat="1" spans="1:8">
      <c r="A587" s="2">
        <v>46167</v>
      </c>
      <c r="B587" s="3">
        <v>1606168</v>
      </c>
      <c r="C587" s="3" t="s">
        <v>150</v>
      </c>
      <c r="D587" s="4">
        <v>20377845</v>
      </c>
      <c r="E587" s="3" t="s">
        <v>106</v>
      </c>
      <c r="F587" s="4">
        <v>1</v>
      </c>
      <c r="G587" s="5">
        <v>66</v>
      </c>
      <c r="H587" s="5">
        <f t="shared" si="9"/>
        <v>66</v>
      </c>
    </row>
    <row r="588" customFormat="1" spans="1:8">
      <c r="A588" s="2">
        <v>46167</v>
      </c>
      <c r="B588" s="3">
        <v>1606168</v>
      </c>
      <c r="C588" s="3" t="s">
        <v>154</v>
      </c>
      <c r="D588" s="4">
        <v>20328192</v>
      </c>
      <c r="E588" s="3" t="s">
        <v>75</v>
      </c>
      <c r="F588" s="4">
        <v>1</v>
      </c>
      <c r="G588" s="5">
        <v>38.5</v>
      </c>
      <c r="H588" s="5">
        <f t="shared" si="9"/>
        <v>38.5</v>
      </c>
    </row>
    <row r="589" customFormat="1" spans="1:8">
      <c r="A589" s="2">
        <v>46167</v>
      </c>
      <c r="B589" s="3">
        <v>1606168</v>
      </c>
      <c r="C589" s="3" t="s">
        <v>151</v>
      </c>
      <c r="D589" s="4">
        <v>20326973</v>
      </c>
      <c r="E589" s="3" t="s">
        <v>80</v>
      </c>
      <c r="F589" s="4">
        <v>1</v>
      </c>
      <c r="G589" s="5">
        <v>8</v>
      </c>
      <c r="H589" s="5">
        <f t="shared" si="9"/>
        <v>8</v>
      </c>
    </row>
    <row r="590" customFormat="1" spans="1:8">
      <c r="A590" s="2">
        <v>46167</v>
      </c>
      <c r="B590" s="3">
        <v>1606168</v>
      </c>
      <c r="C590" s="3" t="s">
        <v>151</v>
      </c>
      <c r="D590" s="4">
        <v>20318235</v>
      </c>
      <c r="E590" s="3" t="s">
        <v>88</v>
      </c>
      <c r="F590" s="4">
        <v>3</v>
      </c>
      <c r="G590" s="5">
        <v>8</v>
      </c>
      <c r="H590" s="5">
        <f t="shared" si="9"/>
        <v>24</v>
      </c>
    </row>
    <row r="591" customFormat="1" spans="1:8">
      <c r="A591" s="2">
        <v>46167</v>
      </c>
      <c r="B591" s="3">
        <v>1606168</v>
      </c>
      <c r="C591" s="3" t="s">
        <v>151</v>
      </c>
      <c r="D591" s="4">
        <v>20329847</v>
      </c>
      <c r="E591" s="3" t="s">
        <v>129</v>
      </c>
      <c r="F591" s="4">
        <v>1</v>
      </c>
      <c r="G591" s="5">
        <v>13</v>
      </c>
      <c r="H591" s="5">
        <f t="shared" si="9"/>
        <v>13</v>
      </c>
    </row>
    <row r="592" customFormat="1" spans="1:8">
      <c r="A592" s="2">
        <v>46167</v>
      </c>
      <c r="B592" s="3">
        <v>1606168</v>
      </c>
      <c r="C592" s="3" t="s">
        <v>153</v>
      </c>
      <c r="D592" s="4">
        <v>20321257</v>
      </c>
      <c r="E592" s="3" t="s">
        <v>68</v>
      </c>
      <c r="F592" s="4">
        <v>2</v>
      </c>
      <c r="G592" s="5">
        <v>16.5</v>
      </c>
      <c r="H592" s="5">
        <f t="shared" si="9"/>
        <v>33</v>
      </c>
    </row>
    <row r="593" customFormat="1" spans="1:8">
      <c r="A593" s="2">
        <v>46167</v>
      </c>
      <c r="B593" s="3">
        <v>1606168</v>
      </c>
      <c r="C593" s="3" t="s">
        <v>153</v>
      </c>
      <c r="D593" s="4">
        <v>20318262</v>
      </c>
      <c r="E593" s="3" t="s">
        <v>77</v>
      </c>
      <c r="F593" s="4">
        <v>1</v>
      </c>
      <c r="G593" s="5">
        <v>16.5</v>
      </c>
      <c r="H593" s="5">
        <f t="shared" si="9"/>
        <v>16.5</v>
      </c>
    </row>
    <row r="594" customFormat="1" spans="1:8">
      <c r="A594" s="2">
        <v>46168</v>
      </c>
      <c r="B594" s="3">
        <v>1606420</v>
      </c>
      <c r="C594" s="3" t="s">
        <v>150</v>
      </c>
      <c r="D594" s="4">
        <v>20326613</v>
      </c>
      <c r="E594" s="3" t="s">
        <v>78</v>
      </c>
      <c r="F594" s="4">
        <v>17</v>
      </c>
      <c r="G594" s="5">
        <v>88</v>
      </c>
      <c r="H594" s="5">
        <f t="shared" si="9"/>
        <v>1496</v>
      </c>
    </row>
    <row r="595" customFormat="1" spans="1:8">
      <c r="A595" s="2">
        <v>46168</v>
      </c>
      <c r="B595" s="3">
        <v>1606420</v>
      </c>
      <c r="C595" s="3" t="s">
        <v>150</v>
      </c>
      <c r="D595" s="4">
        <v>20340902</v>
      </c>
      <c r="E595" s="3" t="s">
        <v>79</v>
      </c>
      <c r="F595" s="4">
        <v>1</v>
      </c>
      <c r="G595" s="5">
        <v>104.5</v>
      </c>
      <c r="H595" s="5">
        <f t="shared" si="9"/>
        <v>104.5</v>
      </c>
    </row>
    <row r="596" customFormat="1" spans="1:8">
      <c r="A596" s="2">
        <v>46168</v>
      </c>
      <c r="B596" s="3">
        <v>1606420</v>
      </c>
      <c r="C596" s="3" t="s">
        <v>150</v>
      </c>
      <c r="D596" s="4">
        <v>20318156</v>
      </c>
      <c r="E596" s="3" t="s">
        <v>112</v>
      </c>
      <c r="F596" s="4">
        <v>1</v>
      </c>
      <c r="G596" s="5">
        <v>154</v>
      </c>
      <c r="H596" s="5">
        <f t="shared" si="9"/>
        <v>154</v>
      </c>
    </row>
    <row r="597" customFormat="1" spans="1:8">
      <c r="A597" s="2">
        <v>46168</v>
      </c>
      <c r="B597" s="3">
        <v>1606420</v>
      </c>
      <c r="C597" s="3" t="s">
        <v>154</v>
      </c>
      <c r="D597" s="4">
        <v>20328192</v>
      </c>
      <c r="E597" s="3" t="s">
        <v>75</v>
      </c>
      <c r="F597" s="4">
        <v>1</v>
      </c>
      <c r="G597" s="5">
        <v>38.5</v>
      </c>
      <c r="H597" s="5">
        <f t="shared" si="9"/>
        <v>38.5</v>
      </c>
    </row>
    <row r="598" customFormat="1" spans="1:8">
      <c r="A598" s="2">
        <v>46168</v>
      </c>
      <c r="B598" s="3">
        <v>1606420</v>
      </c>
      <c r="C598" s="3" t="s">
        <v>151</v>
      </c>
      <c r="D598" s="4">
        <v>20318257</v>
      </c>
      <c r="E598" s="3" t="s">
        <v>86</v>
      </c>
      <c r="F598" s="4">
        <v>1</v>
      </c>
      <c r="G598" s="5">
        <v>8</v>
      </c>
      <c r="H598" s="5">
        <f t="shared" si="9"/>
        <v>8</v>
      </c>
    </row>
    <row r="599" customFormat="1" spans="1:8">
      <c r="A599" s="2">
        <v>46168</v>
      </c>
      <c r="B599" s="3">
        <v>1606420</v>
      </c>
      <c r="C599" s="3" t="s">
        <v>151</v>
      </c>
      <c r="D599" s="4">
        <v>20318235</v>
      </c>
      <c r="E599" s="3" t="s">
        <v>88</v>
      </c>
      <c r="F599" s="4">
        <v>1</v>
      </c>
      <c r="G599" s="5">
        <v>8</v>
      </c>
      <c r="H599" s="5">
        <f t="shared" si="9"/>
        <v>8</v>
      </c>
    </row>
    <row r="600" customFormat="1" spans="1:8">
      <c r="A600" s="2">
        <v>46168</v>
      </c>
      <c r="B600" s="3">
        <v>1606420</v>
      </c>
      <c r="C600" s="3" t="s">
        <v>151</v>
      </c>
      <c r="D600" s="4">
        <v>20329846</v>
      </c>
      <c r="E600" s="3" t="s">
        <v>90</v>
      </c>
      <c r="F600" s="4">
        <v>2</v>
      </c>
      <c r="G600" s="5">
        <v>13.5</v>
      </c>
      <c r="H600" s="5">
        <f t="shared" si="9"/>
        <v>27</v>
      </c>
    </row>
    <row r="601" customFormat="1" spans="1:8">
      <c r="A601" s="2">
        <v>46168</v>
      </c>
      <c r="B601" s="3">
        <v>1606420</v>
      </c>
      <c r="C601" s="3" t="s">
        <v>151</v>
      </c>
      <c r="D601" s="4">
        <v>20361153</v>
      </c>
      <c r="E601" s="3" t="s">
        <v>123</v>
      </c>
      <c r="F601" s="4">
        <v>1</v>
      </c>
      <c r="G601" s="5">
        <v>13.5</v>
      </c>
      <c r="H601" s="5">
        <f t="shared" si="9"/>
        <v>13.5</v>
      </c>
    </row>
    <row r="602" customFormat="1" spans="1:8">
      <c r="A602" s="2">
        <v>46168</v>
      </c>
      <c r="B602" s="3">
        <v>1606420</v>
      </c>
      <c r="C602" s="3" t="s">
        <v>151</v>
      </c>
      <c r="D602" s="4">
        <v>20329847</v>
      </c>
      <c r="E602" s="3" t="s">
        <v>129</v>
      </c>
      <c r="F602" s="4">
        <v>4</v>
      </c>
      <c r="G602" s="5">
        <v>13</v>
      </c>
      <c r="H602" s="5">
        <f t="shared" si="9"/>
        <v>52</v>
      </c>
    </row>
    <row r="603" customFormat="1" spans="1:8">
      <c r="A603" s="2">
        <v>46168</v>
      </c>
      <c r="B603" s="3">
        <v>1606420</v>
      </c>
      <c r="C603" s="3" t="s">
        <v>151</v>
      </c>
      <c r="D603" s="4">
        <v>20318231</v>
      </c>
      <c r="E603" s="3" t="s">
        <v>130</v>
      </c>
      <c r="F603" s="4">
        <v>4</v>
      </c>
      <c r="G603" s="5">
        <v>16.5</v>
      </c>
      <c r="H603" s="5">
        <f t="shared" si="9"/>
        <v>66</v>
      </c>
    </row>
    <row r="604" customFormat="1" spans="1:8">
      <c r="A604" s="2">
        <v>46168</v>
      </c>
      <c r="B604" s="3">
        <v>1606420</v>
      </c>
      <c r="C604" s="3" t="s">
        <v>151</v>
      </c>
      <c r="D604" s="4">
        <v>20333142</v>
      </c>
      <c r="E604" s="3" t="s">
        <v>138</v>
      </c>
      <c r="F604" s="4">
        <v>2</v>
      </c>
      <c r="G604" s="5">
        <v>22</v>
      </c>
      <c r="H604" s="5">
        <f t="shared" si="9"/>
        <v>44</v>
      </c>
    </row>
    <row r="605" customFormat="1" spans="1:8">
      <c r="A605" s="2">
        <v>46168</v>
      </c>
      <c r="B605" s="3">
        <v>1606420</v>
      </c>
      <c r="C605" s="3" t="s">
        <v>151</v>
      </c>
      <c r="D605" s="4">
        <v>20318254</v>
      </c>
      <c r="E605" s="3" t="s">
        <v>139</v>
      </c>
      <c r="F605" s="4">
        <v>1</v>
      </c>
      <c r="G605" s="5">
        <v>16.5</v>
      </c>
      <c r="H605" s="5">
        <f t="shared" si="9"/>
        <v>16.5</v>
      </c>
    </row>
    <row r="606" customFormat="1" spans="1:8">
      <c r="A606" s="2">
        <v>46168</v>
      </c>
      <c r="B606" s="3">
        <v>1606420</v>
      </c>
      <c r="C606" s="3" t="s">
        <v>151</v>
      </c>
      <c r="D606" s="4">
        <v>20331472</v>
      </c>
      <c r="E606" s="3" t="s">
        <v>141</v>
      </c>
      <c r="F606" s="4">
        <v>1</v>
      </c>
      <c r="G606" s="5">
        <v>8</v>
      </c>
      <c r="H606" s="5">
        <f t="shared" si="9"/>
        <v>8</v>
      </c>
    </row>
    <row r="607" customFormat="1" spans="1:8">
      <c r="A607" s="2">
        <v>46168</v>
      </c>
      <c r="B607" s="3">
        <v>1606420</v>
      </c>
      <c r="C607" s="3" t="s">
        <v>155</v>
      </c>
      <c r="D607" s="4">
        <v>20322228</v>
      </c>
      <c r="E607" s="3" t="s">
        <v>74</v>
      </c>
      <c r="F607" s="4">
        <v>1</v>
      </c>
      <c r="G607" s="5">
        <v>15</v>
      </c>
      <c r="H607" s="5">
        <f t="shared" si="9"/>
        <v>15</v>
      </c>
    </row>
    <row r="608" customFormat="1" spans="1:8">
      <c r="A608" s="2">
        <v>46168</v>
      </c>
      <c r="B608" s="3">
        <v>1606420</v>
      </c>
      <c r="C608" s="3" t="s">
        <v>153</v>
      </c>
      <c r="D608" s="4">
        <v>20321257</v>
      </c>
      <c r="E608" s="3" t="s">
        <v>68</v>
      </c>
      <c r="F608" s="4">
        <v>4</v>
      </c>
      <c r="G608" s="5">
        <v>16.5</v>
      </c>
      <c r="H608" s="5">
        <f t="shared" si="9"/>
        <v>66</v>
      </c>
    </row>
    <row r="609" customFormat="1" spans="1:8">
      <c r="A609" s="2">
        <v>46168</v>
      </c>
      <c r="B609" s="3">
        <v>1606420</v>
      </c>
      <c r="C609" s="3" t="s">
        <v>153</v>
      </c>
      <c r="D609" s="4">
        <v>20329874</v>
      </c>
      <c r="E609" s="3" t="s">
        <v>73</v>
      </c>
      <c r="F609" s="4">
        <v>1</v>
      </c>
      <c r="G609" s="5">
        <v>16.5</v>
      </c>
      <c r="H609" s="5">
        <f t="shared" si="9"/>
        <v>16.5</v>
      </c>
    </row>
    <row r="610" customFormat="1" spans="1:8">
      <c r="A610" s="14">
        <v>46168</v>
      </c>
      <c r="B610" s="15">
        <v>1606420</v>
      </c>
      <c r="C610" s="15" t="s">
        <v>153</v>
      </c>
      <c r="D610" s="16">
        <v>20318229</v>
      </c>
      <c r="E610" s="15" t="s">
        <v>76</v>
      </c>
      <c r="F610" s="16">
        <v>3</v>
      </c>
      <c r="G610" s="17">
        <v>16.5</v>
      </c>
      <c r="H610" s="17">
        <f t="shared" si="9"/>
        <v>49.5</v>
      </c>
    </row>
    <row r="611" customFormat="1" spans="1:8">
      <c r="A611" s="14">
        <v>46168</v>
      </c>
      <c r="B611" s="15">
        <v>1606420</v>
      </c>
      <c r="C611" s="15" t="s">
        <v>153</v>
      </c>
      <c r="D611" s="16">
        <v>20014827</v>
      </c>
      <c r="E611" s="15" t="s">
        <v>84</v>
      </c>
      <c r="F611" s="16">
        <v>3</v>
      </c>
      <c r="G611" s="17">
        <v>16.5</v>
      </c>
      <c r="H611" s="17">
        <f t="shared" si="9"/>
        <v>49.5</v>
      </c>
    </row>
    <row r="612" customFormat="1" spans="1:8">
      <c r="A612" s="2">
        <v>46168</v>
      </c>
      <c r="B612" s="3">
        <v>1606420</v>
      </c>
      <c r="C612" s="3" t="s">
        <v>153</v>
      </c>
      <c r="D612" s="4">
        <v>20321688</v>
      </c>
      <c r="E612" s="3" t="s">
        <v>87</v>
      </c>
      <c r="F612" s="4">
        <v>1</v>
      </c>
      <c r="G612" s="5">
        <v>16.5</v>
      </c>
      <c r="H612" s="5">
        <f t="shared" si="9"/>
        <v>16.5</v>
      </c>
    </row>
    <row r="613" customFormat="1" spans="1:8">
      <c r="A613" s="2">
        <v>46168</v>
      </c>
      <c r="B613" s="3">
        <v>1606420</v>
      </c>
      <c r="C613" s="3" t="s">
        <v>153</v>
      </c>
      <c r="D613" s="4">
        <v>20342042</v>
      </c>
      <c r="E613" s="3" t="s">
        <v>131</v>
      </c>
      <c r="F613" s="4">
        <v>1</v>
      </c>
      <c r="G613" s="5">
        <v>16.5</v>
      </c>
      <c r="H613" s="5">
        <f t="shared" si="9"/>
        <v>16.5</v>
      </c>
    </row>
    <row r="614" customFormat="1" spans="1:8">
      <c r="A614" s="2">
        <v>46168</v>
      </c>
      <c r="B614" s="3">
        <v>1606550</v>
      </c>
      <c r="C614" s="3" t="s">
        <v>150</v>
      </c>
      <c r="D614" s="4">
        <v>20326613</v>
      </c>
      <c r="E614" s="3" t="s">
        <v>78</v>
      </c>
      <c r="F614" s="4">
        <v>11</v>
      </c>
      <c r="G614" s="5">
        <v>88</v>
      </c>
      <c r="H614" s="5">
        <f t="shared" si="9"/>
        <v>968</v>
      </c>
    </row>
    <row r="615" customFormat="1" spans="1:8">
      <c r="A615" s="2">
        <v>46168</v>
      </c>
      <c r="B615" s="3">
        <v>1606550</v>
      </c>
      <c r="C615" s="3" t="s">
        <v>150</v>
      </c>
      <c r="D615" s="4">
        <v>20318094</v>
      </c>
      <c r="E615" s="3" t="s">
        <v>102</v>
      </c>
      <c r="F615" s="4">
        <v>1</v>
      </c>
      <c r="G615" s="5">
        <v>148.5</v>
      </c>
      <c r="H615" s="5">
        <f t="shared" si="9"/>
        <v>148.5</v>
      </c>
    </row>
    <row r="616" customFormat="1" spans="1:8">
      <c r="A616" s="2">
        <v>46168</v>
      </c>
      <c r="B616" s="3">
        <v>1606550</v>
      </c>
      <c r="C616" s="3" t="s">
        <v>154</v>
      </c>
      <c r="D616" s="4">
        <v>20328192</v>
      </c>
      <c r="E616" s="3" t="s">
        <v>75</v>
      </c>
      <c r="F616" s="4">
        <v>1</v>
      </c>
      <c r="G616" s="5">
        <v>38.5</v>
      </c>
      <c r="H616" s="5">
        <f t="shared" si="9"/>
        <v>38.5</v>
      </c>
    </row>
    <row r="617" customFormat="1" spans="1:8">
      <c r="A617" s="2">
        <v>46168</v>
      </c>
      <c r="B617" s="3">
        <v>1606550</v>
      </c>
      <c r="C617" s="3" t="s">
        <v>151</v>
      </c>
      <c r="D617" s="4">
        <v>20318235</v>
      </c>
      <c r="E617" s="3" t="s">
        <v>88</v>
      </c>
      <c r="F617" s="4">
        <v>2</v>
      </c>
      <c r="G617" s="5">
        <v>8</v>
      </c>
      <c r="H617" s="5">
        <f t="shared" si="9"/>
        <v>16</v>
      </c>
    </row>
    <row r="618" customFormat="1" spans="1:8">
      <c r="A618" s="2">
        <v>46168</v>
      </c>
      <c r="B618" s="3">
        <v>1606550</v>
      </c>
      <c r="C618" s="3" t="s">
        <v>151</v>
      </c>
      <c r="D618" s="4">
        <v>20329843</v>
      </c>
      <c r="E618" s="3" t="s">
        <v>92</v>
      </c>
      <c r="F618" s="4">
        <v>2</v>
      </c>
      <c r="G618" s="5">
        <v>11</v>
      </c>
      <c r="H618" s="5">
        <f t="shared" si="9"/>
        <v>22</v>
      </c>
    </row>
    <row r="619" customFormat="1" spans="1:8">
      <c r="A619" s="2">
        <v>46168</v>
      </c>
      <c r="B619" s="3">
        <v>1606550</v>
      </c>
      <c r="C619" s="3" t="s">
        <v>151</v>
      </c>
      <c r="D619" s="4">
        <v>20318166</v>
      </c>
      <c r="E619" s="3" t="s">
        <v>93</v>
      </c>
      <c r="F619" s="4">
        <v>1</v>
      </c>
      <c r="G619" s="5">
        <v>8</v>
      </c>
      <c r="H619" s="5">
        <f t="shared" si="9"/>
        <v>8</v>
      </c>
    </row>
    <row r="620" customFormat="1" spans="1:8">
      <c r="A620" s="2">
        <v>46168</v>
      </c>
      <c r="B620" s="3">
        <v>1606550</v>
      </c>
      <c r="C620" s="3" t="s">
        <v>151</v>
      </c>
      <c r="D620" s="4">
        <v>20335633</v>
      </c>
      <c r="E620" s="3" t="s">
        <v>108</v>
      </c>
      <c r="F620" s="4">
        <v>1</v>
      </c>
      <c r="G620" s="5">
        <v>8</v>
      </c>
      <c r="H620" s="5">
        <f t="shared" si="9"/>
        <v>8</v>
      </c>
    </row>
    <row r="621" customFormat="1" spans="1:8">
      <c r="A621" s="2">
        <v>46168</v>
      </c>
      <c r="B621" s="3">
        <v>1606550</v>
      </c>
      <c r="C621" s="3" t="s">
        <v>151</v>
      </c>
      <c r="D621" s="4">
        <v>20318250</v>
      </c>
      <c r="E621" s="3" t="s">
        <v>113</v>
      </c>
      <c r="F621" s="4">
        <v>1</v>
      </c>
      <c r="G621" s="5">
        <v>8</v>
      </c>
      <c r="H621" s="5">
        <f t="shared" si="9"/>
        <v>8</v>
      </c>
    </row>
    <row r="622" customFormat="1" spans="1:8">
      <c r="A622" s="2">
        <v>46168</v>
      </c>
      <c r="B622" s="3">
        <v>1606550</v>
      </c>
      <c r="C622" s="3" t="s">
        <v>151</v>
      </c>
      <c r="D622" s="4">
        <v>20333778</v>
      </c>
      <c r="E622" s="3" t="s">
        <v>116</v>
      </c>
      <c r="F622" s="4">
        <v>1</v>
      </c>
      <c r="G622" s="5">
        <v>16.5</v>
      </c>
      <c r="H622" s="5">
        <f t="shared" si="9"/>
        <v>16.5</v>
      </c>
    </row>
    <row r="623" customFormat="1" spans="1:8">
      <c r="A623" s="2">
        <v>46168</v>
      </c>
      <c r="B623" s="3">
        <v>1606550</v>
      </c>
      <c r="C623" s="3" t="s">
        <v>151</v>
      </c>
      <c r="D623" s="4">
        <v>20329847</v>
      </c>
      <c r="E623" s="3" t="s">
        <v>129</v>
      </c>
      <c r="F623" s="4">
        <v>3</v>
      </c>
      <c r="G623" s="5">
        <v>13</v>
      </c>
      <c r="H623" s="5">
        <f t="shared" si="9"/>
        <v>39</v>
      </c>
    </row>
    <row r="624" customFormat="1" spans="1:8">
      <c r="A624" s="2">
        <v>46168</v>
      </c>
      <c r="B624" s="3">
        <v>1606550</v>
      </c>
      <c r="C624" s="3" t="s">
        <v>151</v>
      </c>
      <c r="D624" s="4">
        <v>20318231</v>
      </c>
      <c r="E624" s="3" t="s">
        <v>130</v>
      </c>
      <c r="F624" s="4">
        <v>1</v>
      </c>
      <c r="G624" s="5">
        <v>16.5</v>
      </c>
      <c r="H624" s="5">
        <f t="shared" si="9"/>
        <v>16.5</v>
      </c>
    </row>
    <row r="625" customFormat="1" spans="1:8">
      <c r="A625" s="2">
        <v>46168</v>
      </c>
      <c r="B625" s="3">
        <v>1606550</v>
      </c>
      <c r="C625" s="3" t="s">
        <v>151</v>
      </c>
      <c r="D625" s="4">
        <v>20333142</v>
      </c>
      <c r="E625" s="3" t="s">
        <v>138</v>
      </c>
      <c r="F625" s="4">
        <v>1</v>
      </c>
      <c r="G625" s="5">
        <v>22</v>
      </c>
      <c r="H625" s="5">
        <f t="shared" si="9"/>
        <v>22</v>
      </c>
    </row>
    <row r="626" customFormat="1" spans="1:8">
      <c r="A626" s="2">
        <v>46168</v>
      </c>
      <c r="B626" s="3">
        <v>1606550</v>
      </c>
      <c r="C626" s="3" t="s">
        <v>152</v>
      </c>
      <c r="D626" s="4">
        <v>20351811</v>
      </c>
      <c r="E626" s="3" t="s">
        <v>110</v>
      </c>
      <c r="F626" s="4">
        <v>1</v>
      </c>
      <c r="G626" s="5">
        <v>55</v>
      </c>
      <c r="H626" s="5">
        <f t="shared" si="9"/>
        <v>55</v>
      </c>
    </row>
    <row r="627" customFormat="1" spans="1:8">
      <c r="A627" s="2">
        <v>46168</v>
      </c>
      <c r="B627" s="3">
        <v>1606550</v>
      </c>
      <c r="C627" s="3" t="s">
        <v>153</v>
      </c>
      <c r="D627" s="4">
        <v>20321257</v>
      </c>
      <c r="E627" s="3" t="s">
        <v>68</v>
      </c>
      <c r="F627" s="4">
        <v>3</v>
      </c>
      <c r="G627" s="5">
        <v>16.5</v>
      </c>
      <c r="H627" s="5">
        <f t="shared" si="9"/>
        <v>49.5</v>
      </c>
    </row>
    <row r="628" customFormat="1" spans="1:8">
      <c r="A628" s="2">
        <v>46168</v>
      </c>
      <c r="B628" s="3">
        <v>1606550</v>
      </c>
      <c r="C628" s="3" t="s">
        <v>153</v>
      </c>
      <c r="D628" s="4">
        <v>20329844</v>
      </c>
      <c r="E628" s="3" t="s">
        <v>70</v>
      </c>
      <c r="F628" s="4">
        <v>1</v>
      </c>
      <c r="G628" s="5">
        <v>16.5</v>
      </c>
      <c r="H628" s="5">
        <f t="shared" si="9"/>
        <v>16.5</v>
      </c>
    </row>
    <row r="629" customFormat="1" spans="1:8">
      <c r="A629" s="2">
        <v>46168</v>
      </c>
      <c r="B629" s="3">
        <v>1606550</v>
      </c>
      <c r="C629" s="3" t="s">
        <v>153</v>
      </c>
      <c r="D629" s="4">
        <v>20318262</v>
      </c>
      <c r="E629" s="3" t="s">
        <v>77</v>
      </c>
      <c r="F629" s="4">
        <v>6</v>
      </c>
      <c r="G629" s="5">
        <v>16.5</v>
      </c>
      <c r="H629" s="5">
        <f t="shared" si="9"/>
        <v>99</v>
      </c>
    </row>
    <row r="630" customFormat="1" spans="1:8">
      <c r="A630" s="2">
        <v>46168</v>
      </c>
      <c r="B630" s="3">
        <v>1606550</v>
      </c>
      <c r="C630" s="3" t="s">
        <v>153</v>
      </c>
      <c r="D630" s="4">
        <v>20321468</v>
      </c>
      <c r="E630" s="3" t="s">
        <v>89</v>
      </c>
      <c r="F630" s="4">
        <v>2</v>
      </c>
      <c r="G630" s="5">
        <v>16.5</v>
      </c>
      <c r="H630" s="5">
        <f t="shared" si="9"/>
        <v>33</v>
      </c>
    </row>
    <row r="631" customFormat="1" spans="1:8">
      <c r="A631" s="2">
        <v>46168</v>
      </c>
      <c r="B631" s="3">
        <v>1606565</v>
      </c>
      <c r="C631" s="3" t="s">
        <v>150</v>
      </c>
      <c r="D631" s="4">
        <v>20326613</v>
      </c>
      <c r="E631" s="3" t="s">
        <v>78</v>
      </c>
      <c r="F631" s="4">
        <v>2</v>
      </c>
      <c r="G631" s="5">
        <v>88</v>
      </c>
      <c r="H631" s="5">
        <f t="shared" si="9"/>
        <v>176</v>
      </c>
    </row>
    <row r="632" customFormat="1" spans="1:8">
      <c r="A632" s="2">
        <v>46168</v>
      </c>
      <c r="B632" s="3">
        <v>1606565</v>
      </c>
      <c r="C632" s="3" t="s">
        <v>150</v>
      </c>
      <c r="D632" s="4">
        <v>20318156</v>
      </c>
      <c r="E632" s="3" t="s">
        <v>112</v>
      </c>
      <c r="F632" s="4">
        <v>1</v>
      </c>
      <c r="G632" s="5">
        <v>154</v>
      </c>
      <c r="H632" s="5">
        <f t="shared" si="9"/>
        <v>154</v>
      </c>
    </row>
    <row r="633" customFormat="1" spans="1:8">
      <c r="A633" s="2">
        <v>46168</v>
      </c>
      <c r="B633" s="3">
        <v>1606565</v>
      </c>
      <c r="C633" s="3" t="s">
        <v>154</v>
      </c>
      <c r="D633" s="4">
        <v>20328192</v>
      </c>
      <c r="E633" s="3" t="s">
        <v>75</v>
      </c>
      <c r="F633" s="4">
        <v>1</v>
      </c>
      <c r="G633" s="5">
        <v>38.5</v>
      </c>
      <c r="H633" s="5">
        <f t="shared" si="9"/>
        <v>38.5</v>
      </c>
    </row>
    <row r="634" customFormat="1" spans="1:8">
      <c r="A634" s="2">
        <v>46168</v>
      </c>
      <c r="B634" s="3">
        <v>1606565</v>
      </c>
      <c r="C634" s="3" t="s">
        <v>151</v>
      </c>
      <c r="D634" s="4">
        <v>20329846</v>
      </c>
      <c r="E634" s="3" t="s">
        <v>90</v>
      </c>
      <c r="F634" s="4">
        <v>1</v>
      </c>
      <c r="G634" s="5">
        <v>13.5</v>
      </c>
      <c r="H634" s="5">
        <f t="shared" si="9"/>
        <v>13.5</v>
      </c>
    </row>
    <row r="635" customFormat="1" spans="1:8">
      <c r="A635" s="2">
        <v>46168</v>
      </c>
      <c r="B635" s="3">
        <v>1606565</v>
      </c>
      <c r="C635" s="3" t="s">
        <v>151</v>
      </c>
      <c r="D635" s="4">
        <v>20333142</v>
      </c>
      <c r="E635" s="3" t="s">
        <v>138</v>
      </c>
      <c r="F635" s="4">
        <v>1</v>
      </c>
      <c r="G635" s="5">
        <v>22</v>
      </c>
      <c r="H635" s="5">
        <f t="shared" si="9"/>
        <v>22</v>
      </c>
    </row>
    <row r="636" customFormat="1" spans="1:8">
      <c r="A636" s="2">
        <v>46168</v>
      </c>
      <c r="B636" s="3">
        <v>1606565</v>
      </c>
      <c r="C636" s="3" t="s">
        <v>152</v>
      </c>
      <c r="D636" s="4">
        <v>20351811</v>
      </c>
      <c r="E636" s="3" t="s">
        <v>110</v>
      </c>
      <c r="F636" s="4">
        <v>1</v>
      </c>
      <c r="G636" s="5">
        <v>55</v>
      </c>
      <c r="H636" s="5">
        <f t="shared" si="9"/>
        <v>55</v>
      </c>
    </row>
    <row r="637" customFormat="1" spans="1:8">
      <c r="A637" s="2">
        <v>46168</v>
      </c>
      <c r="B637" s="3">
        <v>1606565</v>
      </c>
      <c r="C637" s="3" t="s">
        <v>153</v>
      </c>
      <c r="D637" s="4">
        <v>20321257</v>
      </c>
      <c r="E637" s="3" t="s">
        <v>68</v>
      </c>
      <c r="F637" s="4">
        <v>3</v>
      </c>
      <c r="G637" s="5">
        <v>16.5</v>
      </c>
      <c r="H637" s="5">
        <f t="shared" si="9"/>
        <v>49.5</v>
      </c>
    </row>
    <row r="638" customFormat="1" spans="1:8">
      <c r="A638" s="2">
        <v>46168</v>
      </c>
      <c r="B638" s="3">
        <v>1606565</v>
      </c>
      <c r="C638" s="3" t="s">
        <v>153</v>
      </c>
      <c r="D638" s="4">
        <v>20318262</v>
      </c>
      <c r="E638" s="3" t="s">
        <v>77</v>
      </c>
      <c r="F638" s="4">
        <v>1</v>
      </c>
      <c r="G638" s="5">
        <v>16.5</v>
      </c>
      <c r="H638" s="5">
        <f t="shared" si="9"/>
        <v>16.5</v>
      </c>
    </row>
    <row r="639" customFormat="1" spans="1:8">
      <c r="A639" s="2">
        <v>46169</v>
      </c>
      <c r="B639" s="3">
        <v>1606785</v>
      </c>
      <c r="C639" s="3" t="s">
        <v>150</v>
      </c>
      <c r="D639" s="4">
        <v>20326613</v>
      </c>
      <c r="E639" s="3" t="s">
        <v>78</v>
      </c>
      <c r="F639" s="4">
        <v>7</v>
      </c>
      <c r="G639" s="5">
        <v>88</v>
      </c>
      <c r="H639" s="5">
        <f t="shared" si="9"/>
        <v>616</v>
      </c>
    </row>
    <row r="640" customFormat="1" spans="1:8">
      <c r="A640" s="2">
        <v>46169</v>
      </c>
      <c r="B640" s="3">
        <v>1606785</v>
      </c>
      <c r="C640" s="3" t="s">
        <v>150</v>
      </c>
      <c r="D640" s="4">
        <v>20318156</v>
      </c>
      <c r="E640" s="3" t="s">
        <v>112</v>
      </c>
      <c r="F640" s="4">
        <v>1</v>
      </c>
      <c r="G640" s="5">
        <v>154</v>
      </c>
      <c r="H640" s="5">
        <f t="shared" si="9"/>
        <v>154</v>
      </c>
    </row>
    <row r="641" customFormat="1" spans="1:8">
      <c r="A641" s="2">
        <v>46169</v>
      </c>
      <c r="B641" s="3">
        <v>1606785</v>
      </c>
      <c r="C641" s="3" t="s">
        <v>151</v>
      </c>
      <c r="D641" s="4">
        <v>20329846</v>
      </c>
      <c r="E641" s="3" t="s">
        <v>90</v>
      </c>
      <c r="F641" s="4">
        <v>1</v>
      </c>
      <c r="G641" s="5">
        <v>13.5</v>
      </c>
      <c r="H641" s="5">
        <f t="shared" si="9"/>
        <v>13.5</v>
      </c>
    </row>
    <row r="642" customFormat="1" spans="1:8">
      <c r="A642" s="2">
        <v>46169</v>
      </c>
      <c r="B642" s="3">
        <v>1606785</v>
      </c>
      <c r="C642" s="3" t="s">
        <v>151</v>
      </c>
      <c r="D642" s="4">
        <v>20331668</v>
      </c>
      <c r="E642" s="3" t="s">
        <v>115</v>
      </c>
      <c r="F642" s="4">
        <v>1</v>
      </c>
      <c r="G642" s="5">
        <v>8</v>
      </c>
      <c r="H642" s="5">
        <f t="shared" ref="H642:H705" si="10">G642*F642</f>
        <v>8</v>
      </c>
    </row>
    <row r="643" customFormat="1" spans="1:8">
      <c r="A643" s="2">
        <v>46169</v>
      </c>
      <c r="B643" s="3">
        <v>1606785</v>
      </c>
      <c r="C643" s="3" t="s">
        <v>151</v>
      </c>
      <c r="D643" s="4">
        <v>20329847</v>
      </c>
      <c r="E643" s="3" t="s">
        <v>129</v>
      </c>
      <c r="F643" s="4">
        <v>1</v>
      </c>
      <c r="G643" s="5">
        <v>13</v>
      </c>
      <c r="H643" s="5">
        <f t="shared" si="10"/>
        <v>13</v>
      </c>
    </row>
    <row r="644" customFormat="1" spans="1:8">
      <c r="A644" s="2">
        <v>46169</v>
      </c>
      <c r="B644" s="3">
        <v>1606785</v>
      </c>
      <c r="C644" s="3" t="s">
        <v>151</v>
      </c>
      <c r="D644" s="4">
        <v>20333142</v>
      </c>
      <c r="E644" s="3" t="s">
        <v>138</v>
      </c>
      <c r="F644" s="4">
        <v>1</v>
      </c>
      <c r="G644" s="5">
        <v>22</v>
      </c>
      <c r="H644" s="5">
        <f t="shared" si="10"/>
        <v>22</v>
      </c>
    </row>
    <row r="645" customFormat="1" spans="1:8">
      <c r="A645" s="2">
        <v>46169</v>
      </c>
      <c r="B645" s="3">
        <v>1606785</v>
      </c>
      <c r="C645" s="3" t="s">
        <v>153</v>
      </c>
      <c r="D645" s="4">
        <v>20321257</v>
      </c>
      <c r="E645" s="3" t="s">
        <v>68</v>
      </c>
      <c r="F645" s="4">
        <v>2</v>
      </c>
      <c r="G645" s="5">
        <v>16.5</v>
      </c>
      <c r="H645" s="5">
        <f t="shared" si="10"/>
        <v>33</v>
      </c>
    </row>
    <row r="646" customFormat="1" spans="1:8">
      <c r="A646" s="14">
        <v>46169</v>
      </c>
      <c r="B646" s="15">
        <v>1606785</v>
      </c>
      <c r="C646" s="15" t="s">
        <v>153</v>
      </c>
      <c r="D646" s="16">
        <v>20318229</v>
      </c>
      <c r="E646" s="15" t="s">
        <v>76</v>
      </c>
      <c r="F646" s="16">
        <v>1</v>
      </c>
      <c r="G646" s="17">
        <v>16.5</v>
      </c>
      <c r="H646" s="17">
        <f t="shared" si="10"/>
        <v>16.5</v>
      </c>
    </row>
    <row r="647" customFormat="1" spans="1:8">
      <c r="A647" s="14">
        <v>46169</v>
      </c>
      <c r="B647" s="15">
        <v>1606785</v>
      </c>
      <c r="C647" s="15" t="s">
        <v>153</v>
      </c>
      <c r="D647" s="16">
        <v>20014827</v>
      </c>
      <c r="E647" s="15" t="s">
        <v>84</v>
      </c>
      <c r="F647" s="16">
        <v>1</v>
      </c>
      <c r="G647" s="17">
        <v>16.5</v>
      </c>
      <c r="H647" s="17">
        <f t="shared" si="10"/>
        <v>16.5</v>
      </c>
    </row>
    <row r="648" customFormat="1" spans="1:8">
      <c r="A648" s="2">
        <v>46169</v>
      </c>
      <c r="B648" s="3">
        <v>1606785</v>
      </c>
      <c r="C648" s="3" t="s">
        <v>153</v>
      </c>
      <c r="D648" s="4">
        <v>20342042</v>
      </c>
      <c r="E648" s="3" t="s">
        <v>131</v>
      </c>
      <c r="F648" s="4">
        <v>1</v>
      </c>
      <c r="G648" s="5">
        <v>16.5</v>
      </c>
      <c r="H648" s="5">
        <f t="shared" si="10"/>
        <v>16.5</v>
      </c>
    </row>
    <row r="649" customFormat="1" spans="1:8">
      <c r="A649" s="2">
        <v>46169</v>
      </c>
      <c r="B649" s="3">
        <v>1606878</v>
      </c>
      <c r="C649" s="3" t="s">
        <v>150</v>
      </c>
      <c r="D649" s="4">
        <v>20326613</v>
      </c>
      <c r="E649" s="3" t="s">
        <v>78</v>
      </c>
      <c r="F649" s="4">
        <v>5</v>
      </c>
      <c r="G649" s="5">
        <v>88</v>
      </c>
      <c r="H649" s="5">
        <f t="shared" si="10"/>
        <v>440</v>
      </c>
    </row>
    <row r="650" customFormat="1" spans="1:8">
      <c r="A650" s="2">
        <v>46169</v>
      </c>
      <c r="B650" s="3">
        <v>1606878</v>
      </c>
      <c r="C650" s="3" t="s">
        <v>150</v>
      </c>
      <c r="D650" s="4">
        <v>20312951</v>
      </c>
      <c r="E650" s="3" t="s">
        <v>121</v>
      </c>
      <c r="F650" s="4">
        <v>1</v>
      </c>
      <c r="G650" s="5">
        <v>165</v>
      </c>
      <c r="H650" s="5">
        <f t="shared" si="10"/>
        <v>165</v>
      </c>
    </row>
    <row r="651" customFormat="1" spans="1:8">
      <c r="A651" s="2">
        <v>46169</v>
      </c>
      <c r="B651" s="3">
        <v>1606878</v>
      </c>
      <c r="C651" s="3" t="s">
        <v>151</v>
      </c>
      <c r="D651" s="4">
        <v>20318235</v>
      </c>
      <c r="E651" s="3" t="s">
        <v>88</v>
      </c>
      <c r="F651" s="4">
        <v>1</v>
      </c>
      <c r="G651" s="5">
        <v>8</v>
      </c>
      <c r="H651" s="5">
        <f t="shared" si="10"/>
        <v>8</v>
      </c>
    </row>
    <row r="652" customFormat="1" spans="1:8">
      <c r="A652" s="2">
        <v>46169</v>
      </c>
      <c r="B652" s="3">
        <v>1606878</v>
      </c>
      <c r="C652" s="3" t="s">
        <v>151</v>
      </c>
      <c r="D652" s="4">
        <v>20329843</v>
      </c>
      <c r="E652" s="3" t="s">
        <v>92</v>
      </c>
      <c r="F652" s="4">
        <v>1</v>
      </c>
      <c r="G652" s="5">
        <v>11</v>
      </c>
      <c r="H652" s="5">
        <f t="shared" si="10"/>
        <v>11</v>
      </c>
    </row>
    <row r="653" customFormat="1" spans="1:8">
      <c r="A653" s="2">
        <v>46169</v>
      </c>
      <c r="B653" s="3">
        <v>1606878</v>
      </c>
      <c r="C653" s="3" t="s">
        <v>151</v>
      </c>
      <c r="D653" s="4">
        <v>20335633</v>
      </c>
      <c r="E653" s="3" t="s">
        <v>108</v>
      </c>
      <c r="F653" s="4">
        <v>1</v>
      </c>
      <c r="G653" s="5">
        <v>8</v>
      </c>
      <c r="H653" s="5">
        <f t="shared" si="10"/>
        <v>8</v>
      </c>
    </row>
    <row r="654" customFormat="1" spans="1:8">
      <c r="A654" s="2">
        <v>46169</v>
      </c>
      <c r="B654" s="3">
        <v>1606878</v>
      </c>
      <c r="C654" s="3" t="s">
        <v>151</v>
      </c>
      <c r="D654" s="4">
        <v>20361153</v>
      </c>
      <c r="E654" s="3" t="s">
        <v>123</v>
      </c>
      <c r="F654" s="4">
        <v>1</v>
      </c>
      <c r="G654" s="5">
        <v>13.5</v>
      </c>
      <c r="H654" s="5">
        <f t="shared" si="10"/>
        <v>13.5</v>
      </c>
    </row>
    <row r="655" customFormat="1" spans="1:8">
      <c r="A655" s="2">
        <v>46169</v>
      </c>
      <c r="B655" s="3">
        <v>1606878</v>
      </c>
      <c r="C655" s="3" t="s">
        <v>151</v>
      </c>
      <c r="D655" s="4">
        <v>20329847</v>
      </c>
      <c r="E655" s="3" t="s">
        <v>129</v>
      </c>
      <c r="F655" s="4">
        <v>1</v>
      </c>
      <c r="G655" s="5">
        <v>13</v>
      </c>
      <c r="H655" s="5">
        <f t="shared" si="10"/>
        <v>13</v>
      </c>
    </row>
    <row r="656" customFormat="1" spans="1:8">
      <c r="A656" s="2">
        <v>46169</v>
      </c>
      <c r="B656" s="3">
        <v>1606878</v>
      </c>
      <c r="C656" s="3" t="s">
        <v>151</v>
      </c>
      <c r="D656" s="4">
        <v>20318254</v>
      </c>
      <c r="E656" s="3" t="s">
        <v>139</v>
      </c>
      <c r="F656" s="4">
        <v>1</v>
      </c>
      <c r="G656" s="5">
        <v>16.5</v>
      </c>
      <c r="H656" s="5">
        <f t="shared" si="10"/>
        <v>16.5</v>
      </c>
    </row>
    <row r="657" customFormat="1" spans="1:8">
      <c r="A657" s="2">
        <v>46169</v>
      </c>
      <c r="B657" s="3">
        <v>1606878</v>
      </c>
      <c r="C657" s="3" t="s">
        <v>155</v>
      </c>
      <c r="D657" s="4">
        <v>20322228</v>
      </c>
      <c r="E657" s="3" t="s">
        <v>74</v>
      </c>
      <c r="F657" s="4">
        <v>1</v>
      </c>
      <c r="G657" s="5">
        <v>15</v>
      </c>
      <c r="H657" s="5">
        <f t="shared" si="10"/>
        <v>15</v>
      </c>
    </row>
    <row r="658" customFormat="1" spans="1:8">
      <c r="A658" s="2">
        <v>46169</v>
      </c>
      <c r="B658" s="3">
        <v>1606878</v>
      </c>
      <c r="C658" s="3" t="s">
        <v>156</v>
      </c>
      <c r="D658" s="4">
        <v>20322235</v>
      </c>
      <c r="E658" s="3" t="s">
        <v>111</v>
      </c>
      <c r="F658" s="4">
        <v>3</v>
      </c>
      <c r="G658" s="5">
        <v>2.5</v>
      </c>
      <c r="H658" s="5">
        <f t="shared" si="10"/>
        <v>7.5</v>
      </c>
    </row>
    <row r="659" customFormat="1" spans="1:8">
      <c r="A659" s="2">
        <v>46169</v>
      </c>
      <c r="B659" s="3">
        <v>1606878</v>
      </c>
      <c r="C659" s="3" t="s">
        <v>152</v>
      </c>
      <c r="D659" s="4">
        <v>20351811</v>
      </c>
      <c r="E659" s="3" t="s">
        <v>110</v>
      </c>
      <c r="F659" s="4">
        <v>2</v>
      </c>
      <c r="G659" s="5">
        <v>55</v>
      </c>
      <c r="H659" s="5">
        <f t="shared" si="10"/>
        <v>110</v>
      </c>
    </row>
    <row r="660" customFormat="1" spans="1:8">
      <c r="A660" s="2">
        <v>46169</v>
      </c>
      <c r="B660" s="3">
        <v>1606878</v>
      </c>
      <c r="C660" s="3" t="s">
        <v>153</v>
      </c>
      <c r="D660" s="4">
        <v>20321257</v>
      </c>
      <c r="E660" s="3" t="s">
        <v>68</v>
      </c>
      <c r="F660" s="4">
        <v>3</v>
      </c>
      <c r="G660" s="5">
        <v>16.5</v>
      </c>
      <c r="H660" s="5">
        <f t="shared" si="10"/>
        <v>49.5</v>
      </c>
    </row>
    <row r="661" customFormat="1" spans="1:8">
      <c r="A661" s="2">
        <v>46169</v>
      </c>
      <c r="B661" s="3">
        <v>1606878</v>
      </c>
      <c r="C661" s="3" t="s">
        <v>153</v>
      </c>
      <c r="D661" s="4">
        <v>20318262</v>
      </c>
      <c r="E661" s="3" t="s">
        <v>77</v>
      </c>
      <c r="F661" s="4">
        <v>2</v>
      </c>
      <c r="G661" s="5">
        <v>16.5</v>
      </c>
      <c r="H661" s="5">
        <f t="shared" si="10"/>
        <v>33</v>
      </c>
    </row>
    <row r="662" customFormat="1" spans="1:8">
      <c r="A662" s="2">
        <v>46169</v>
      </c>
      <c r="B662" s="3">
        <v>1606878</v>
      </c>
      <c r="C662" s="3" t="s">
        <v>153</v>
      </c>
      <c r="D662" s="4">
        <v>20318241</v>
      </c>
      <c r="E662" s="3" t="s">
        <v>83</v>
      </c>
      <c r="F662" s="4">
        <v>1</v>
      </c>
      <c r="G662" s="5">
        <v>16.5</v>
      </c>
      <c r="H662" s="5">
        <f t="shared" si="10"/>
        <v>16.5</v>
      </c>
    </row>
    <row r="663" customFormat="1" spans="1:8">
      <c r="A663" s="2">
        <v>46169</v>
      </c>
      <c r="B663" s="3">
        <v>1606878</v>
      </c>
      <c r="C663" s="3" t="s">
        <v>153</v>
      </c>
      <c r="D663" s="4">
        <v>20321688</v>
      </c>
      <c r="E663" s="3" t="s">
        <v>87</v>
      </c>
      <c r="F663" s="4">
        <v>1</v>
      </c>
      <c r="G663" s="5">
        <v>16.5</v>
      </c>
      <c r="H663" s="5">
        <f t="shared" si="10"/>
        <v>16.5</v>
      </c>
    </row>
    <row r="664" customFormat="1" spans="1:8">
      <c r="A664" s="2">
        <v>46169</v>
      </c>
      <c r="B664" s="3">
        <v>1606878</v>
      </c>
      <c r="C664" s="3" t="s">
        <v>153</v>
      </c>
      <c r="D664" s="4">
        <v>20321468</v>
      </c>
      <c r="E664" s="3" t="s">
        <v>89</v>
      </c>
      <c r="F664" s="4">
        <v>1</v>
      </c>
      <c r="G664" s="5">
        <v>16.5</v>
      </c>
      <c r="H664" s="5">
        <f t="shared" si="10"/>
        <v>16.5</v>
      </c>
    </row>
    <row r="665" customFormat="1" spans="1:8">
      <c r="A665" s="2">
        <v>46169</v>
      </c>
      <c r="B665" s="3">
        <v>1606918</v>
      </c>
      <c r="C665" s="3" t="s">
        <v>150</v>
      </c>
      <c r="D665" s="4">
        <v>20326613</v>
      </c>
      <c r="E665" s="3" t="s">
        <v>78</v>
      </c>
      <c r="F665" s="4">
        <v>1</v>
      </c>
      <c r="G665" s="5">
        <v>88</v>
      </c>
      <c r="H665" s="5">
        <f t="shared" si="10"/>
        <v>88</v>
      </c>
    </row>
    <row r="666" customFormat="1" spans="1:8">
      <c r="A666" s="2">
        <v>46169</v>
      </c>
      <c r="B666" s="3">
        <v>1606918</v>
      </c>
      <c r="C666" s="3" t="s">
        <v>150</v>
      </c>
      <c r="D666" s="4">
        <v>20318156</v>
      </c>
      <c r="E666" s="3" t="s">
        <v>112</v>
      </c>
      <c r="F666" s="4">
        <v>1</v>
      </c>
      <c r="G666" s="5">
        <v>154</v>
      </c>
      <c r="H666" s="5">
        <f t="shared" si="10"/>
        <v>154</v>
      </c>
    </row>
    <row r="667" customFormat="1" spans="1:8">
      <c r="A667" s="2">
        <v>46169</v>
      </c>
      <c r="B667" s="3">
        <v>1606918</v>
      </c>
      <c r="C667" s="3" t="s">
        <v>151</v>
      </c>
      <c r="D667" s="4">
        <v>20335633</v>
      </c>
      <c r="E667" s="3" t="s">
        <v>108</v>
      </c>
      <c r="F667" s="4">
        <v>1</v>
      </c>
      <c r="G667" s="5">
        <v>8</v>
      </c>
      <c r="H667" s="5">
        <f t="shared" si="10"/>
        <v>8</v>
      </c>
    </row>
    <row r="668" customFormat="1" spans="1:8">
      <c r="A668" s="2">
        <v>46169</v>
      </c>
      <c r="B668" s="3">
        <v>1606918</v>
      </c>
      <c r="C668" s="3" t="s">
        <v>151</v>
      </c>
      <c r="D668" s="4">
        <v>20331668</v>
      </c>
      <c r="E668" s="3" t="s">
        <v>115</v>
      </c>
      <c r="F668" s="4">
        <v>1</v>
      </c>
      <c r="G668" s="5">
        <v>8</v>
      </c>
      <c r="H668" s="5">
        <f t="shared" si="10"/>
        <v>8</v>
      </c>
    </row>
    <row r="669" customFormat="1" spans="1:8">
      <c r="A669" s="2">
        <v>46169</v>
      </c>
      <c r="B669" s="3">
        <v>1606918</v>
      </c>
      <c r="C669" s="3" t="s">
        <v>151</v>
      </c>
      <c r="D669" s="4">
        <v>20333142</v>
      </c>
      <c r="E669" s="3" t="s">
        <v>138</v>
      </c>
      <c r="F669" s="4">
        <v>1</v>
      </c>
      <c r="G669" s="5">
        <v>22</v>
      </c>
      <c r="H669" s="5">
        <f t="shared" si="10"/>
        <v>22</v>
      </c>
    </row>
    <row r="670" customFormat="1" spans="1:8">
      <c r="A670" s="2">
        <v>46169</v>
      </c>
      <c r="B670" s="3">
        <v>1606918</v>
      </c>
      <c r="C670" s="3" t="s">
        <v>152</v>
      </c>
      <c r="D670" s="4">
        <v>20351811</v>
      </c>
      <c r="E670" s="3" t="s">
        <v>110</v>
      </c>
      <c r="F670" s="4">
        <v>1</v>
      </c>
      <c r="G670" s="5">
        <v>55</v>
      </c>
      <c r="H670" s="5">
        <f t="shared" si="10"/>
        <v>55</v>
      </c>
    </row>
    <row r="671" customFormat="1" spans="1:8">
      <c r="A671" s="2">
        <v>46169</v>
      </c>
      <c r="B671" s="3">
        <v>1606918</v>
      </c>
      <c r="C671" s="3" t="s">
        <v>153</v>
      </c>
      <c r="D671" s="4">
        <v>20329874</v>
      </c>
      <c r="E671" s="3" t="s">
        <v>73</v>
      </c>
      <c r="F671" s="4">
        <v>1</v>
      </c>
      <c r="G671" s="5">
        <v>16.5</v>
      </c>
      <c r="H671" s="5">
        <f t="shared" si="10"/>
        <v>16.5</v>
      </c>
    </row>
    <row r="672" customFormat="1" spans="1:8">
      <c r="A672" s="2">
        <v>46169</v>
      </c>
      <c r="B672" s="3">
        <v>1606918</v>
      </c>
      <c r="C672" s="3" t="s">
        <v>153</v>
      </c>
      <c r="D672" s="4">
        <v>20318262</v>
      </c>
      <c r="E672" s="3" t="s">
        <v>77</v>
      </c>
      <c r="F672" s="4">
        <v>1</v>
      </c>
      <c r="G672" s="5">
        <v>16.5</v>
      </c>
      <c r="H672" s="5">
        <f t="shared" si="10"/>
        <v>16.5</v>
      </c>
    </row>
    <row r="673" customFormat="1" spans="1:8">
      <c r="A673" s="2">
        <v>46170</v>
      </c>
      <c r="B673" s="3">
        <v>1607131</v>
      </c>
      <c r="C673" s="3" t="s">
        <v>150</v>
      </c>
      <c r="D673" s="4">
        <v>20326613</v>
      </c>
      <c r="E673" s="3" t="s">
        <v>78</v>
      </c>
      <c r="F673" s="4">
        <v>15</v>
      </c>
      <c r="G673" s="5">
        <v>88</v>
      </c>
      <c r="H673" s="5">
        <f t="shared" si="10"/>
        <v>1320</v>
      </c>
    </row>
    <row r="674" customFormat="1" spans="1:8">
      <c r="A674" s="2">
        <v>46170</v>
      </c>
      <c r="B674" s="3">
        <v>1607131</v>
      </c>
      <c r="C674" s="3" t="s">
        <v>151</v>
      </c>
      <c r="D674" s="4">
        <v>20421967</v>
      </c>
      <c r="E674" s="3" t="s">
        <v>66</v>
      </c>
      <c r="F674" s="4">
        <v>1</v>
      </c>
      <c r="G674" s="5">
        <v>8</v>
      </c>
      <c r="H674" s="5">
        <f t="shared" si="10"/>
        <v>8</v>
      </c>
    </row>
    <row r="675" customFormat="1" spans="1:8">
      <c r="A675" s="2">
        <v>46170</v>
      </c>
      <c r="B675" s="3">
        <v>1607131</v>
      </c>
      <c r="C675" s="3" t="s">
        <v>151</v>
      </c>
      <c r="D675" s="4">
        <v>20318247</v>
      </c>
      <c r="E675" s="3" t="s">
        <v>69</v>
      </c>
      <c r="F675" s="4">
        <v>1</v>
      </c>
      <c r="G675" s="5">
        <v>8</v>
      </c>
      <c r="H675" s="5">
        <f t="shared" si="10"/>
        <v>8</v>
      </c>
    </row>
    <row r="676" customFormat="1" spans="1:8">
      <c r="A676" s="2">
        <v>46170</v>
      </c>
      <c r="B676" s="3">
        <v>1607131</v>
      </c>
      <c r="C676" s="3" t="s">
        <v>151</v>
      </c>
      <c r="D676" s="4">
        <v>20318257</v>
      </c>
      <c r="E676" s="3" t="s">
        <v>86</v>
      </c>
      <c r="F676" s="4">
        <v>1</v>
      </c>
      <c r="G676" s="5">
        <v>8</v>
      </c>
      <c r="H676" s="5">
        <f t="shared" si="10"/>
        <v>8</v>
      </c>
    </row>
    <row r="677" customFormat="1" spans="1:8">
      <c r="A677" s="2">
        <v>46170</v>
      </c>
      <c r="B677" s="3">
        <v>1607131</v>
      </c>
      <c r="C677" s="3" t="s">
        <v>151</v>
      </c>
      <c r="D677" s="4">
        <v>20318235</v>
      </c>
      <c r="E677" s="3" t="s">
        <v>88</v>
      </c>
      <c r="F677" s="4">
        <v>1</v>
      </c>
      <c r="G677" s="5">
        <v>8</v>
      </c>
      <c r="H677" s="5">
        <f t="shared" si="10"/>
        <v>8</v>
      </c>
    </row>
    <row r="678" customFormat="1" spans="1:8">
      <c r="A678" s="2">
        <v>46170</v>
      </c>
      <c r="B678" s="3">
        <v>1607131</v>
      </c>
      <c r="C678" s="3" t="s">
        <v>151</v>
      </c>
      <c r="D678" s="4">
        <v>20329846</v>
      </c>
      <c r="E678" s="3" t="s">
        <v>90</v>
      </c>
      <c r="F678" s="4">
        <v>4</v>
      </c>
      <c r="G678" s="5">
        <v>13.5</v>
      </c>
      <c r="H678" s="5">
        <f t="shared" si="10"/>
        <v>54</v>
      </c>
    </row>
    <row r="679" customFormat="1" spans="1:8">
      <c r="A679" s="2">
        <v>46170</v>
      </c>
      <c r="B679" s="3">
        <v>1607131</v>
      </c>
      <c r="C679" s="3" t="s">
        <v>151</v>
      </c>
      <c r="D679" s="4">
        <v>20318236</v>
      </c>
      <c r="E679" s="3" t="s">
        <v>91</v>
      </c>
      <c r="F679" s="4">
        <v>1</v>
      </c>
      <c r="G679" s="5">
        <v>11</v>
      </c>
      <c r="H679" s="5">
        <f t="shared" si="10"/>
        <v>11</v>
      </c>
    </row>
    <row r="680" customFormat="1" spans="1:8">
      <c r="A680" s="2">
        <v>46170</v>
      </c>
      <c r="B680" s="3">
        <v>1607131</v>
      </c>
      <c r="C680" s="3" t="s">
        <v>151</v>
      </c>
      <c r="D680" s="4">
        <v>20331668</v>
      </c>
      <c r="E680" s="3" t="s">
        <v>115</v>
      </c>
      <c r="F680" s="4">
        <v>1</v>
      </c>
      <c r="G680" s="5">
        <v>8</v>
      </c>
      <c r="H680" s="5">
        <f t="shared" si="10"/>
        <v>8</v>
      </c>
    </row>
    <row r="681" customFormat="1" spans="1:8">
      <c r="A681" s="2">
        <v>46170</v>
      </c>
      <c r="B681" s="3">
        <v>1607131</v>
      </c>
      <c r="C681" s="3" t="s">
        <v>151</v>
      </c>
      <c r="D681" s="4">
        <v>20329847</v>
      </c>
      <c r="E681" s="3" t="s">
        <v>129</v>
      </c>
      <c r="F681" s="4">
        <v>1</v>
      </c>
      <c r="G681" s="5">
        <v>13</v>
      </c>
      <c r="H681" s="5">
        <f t="shared" si="10"/>
        <v>13</v>
      </c>
    </row>
    <row r="682" customFormat="1" spans="1:8">
      <c r="A682" s="2">
        <v>46170</v>
      </c>
      <c r="B682" s="3">
        <v>1607131</v>
      </c>
      <c r="C682" s="3" t="s">
        <v>151</v>
      </c>
      <c r="D682" s="4">
        <v>20318231</v>
      </c>
      <c r="E682" s="3" t="s">
        <v>130</v>
      </c>
      <c r="F682" s="4">
        <v>4</v>
      </c>
      <c r="G682" s="5">
        <v>16.5</v>
      </c>
      <c r="H682" s="5">
        <f t="shared" si="10"/>
        <v>66</v>
      </c>
    </row>
    <row r="683" customFormat="1" spans="1:8">
      <c r="A683" s="2">
        <v>46170</v>
      </c>
      <c r="B683" s="3">
        <v>1607131</v>
      </c>
      <c r="C683" s="3" t="s">
        <v>151</v>
      </c>
      <c r="D683" s="4">
        <v>20333142</v>
      </c>
      <c r="E683" s="3" t="s">
        <v>138</v>
      </c>
      <c r="F683" s="4">
        <v>1</v>
      </c>
      <c r="G683" s="5">
        <v>22</v>
      </c>
      <c r="H683" s="5">
        <f t="shared" si="10"/>
        <v>22</v>
      </c>
    </row>
    <row r="684" customFormat="1" spans="1:8">
      <c r="A684" s="2">
        <v>46170</v>
      </c>
      <c r="B684" s="3">
        <v>1607131</v>
      </c>
      <c r="C684" s="3" t="s">
        <v>151</v>
      </c>
      <c r="D684" s="4">
        <v>20318254</v>
      </c>
      <c r="E684" s="3" t="s">
        <v>139</v>
      </c>
      <c r="F684" s="4">
        <v>1</v>
      </c>
      <c r="G684" s="5">
        <v>16.5</v>
      </c>
      <c r="H684" s="5">
        <f t="shared" si="10"/>
        <v>16.5</v>
      </c>
    </row>
    <row r="685" customFormat="1" spans="1:8">
      <c r="A685" s="2">
        <v>46170</v>
      </c>
      <c r="B685" s="3">
        <v>1607131</v>
      </c>
      <c r="C685" s="3" t="s">
        <v>151</v>
      </c>
      <c r="D685" s="4">
        <v>20331472</v>
      </c>
      <c r="E685" s="3" t="s">
        <v>141</v>
      </c>
      <c r="F685" s="4">
        <v>1</v>
      </c>
      <c r="G685" s="5">
        <v>8</v>
      </c>
      <c r="H685" s="5">
        <f t="shared" si="10"/>
        <v>8</v>
      </c>
    </row>
    <row r="686" customFormat="1" spans="1:8">
      <c r="A686" s="2">
        <v>46170</v>
      </c>
      <c r="B686" s="3">
        <v>1607131</v>
      </c>
      <c r="C686" s="3" t="s">
        <v>153</v>
      </c>
      <c r="D686" s="4">
        <v>20321257</v>
      </c>
      <c r="E686" s="3" t="s">
        <v>68</v>
      </c>
      <c r="F686" s="4">
        <v>4</v>
      </c>
      <c r="G686" s="5">
        <v>16.5</v>
      </c>
      <c r="H686" s="5">
        <f t="shared" si="10"/>
        <v>66</v>
      </c>
    </row>
    <row r="687" customFormat="1" spans="1:8">
      <c r="A687" s="2">
        <v>46170</v>
      </c>
      <c r="B687" s="3">
        <v>1607131</v>
      </c>
      <c r="C687" s="3" t="s">
        <v>153</v>
      </c>
      <c r="D687" s="4">
        <v>20329874</v>
      </c>
      <c r="E687" s="3" t="s">
        <v>73</v>
      </c>
      <c r="F687" s="4">
        <v>1</v>
      </c>
      <c r="G687" s="5">
        <v>16.5</v>
      </c>
      <c r="H687" s="5">
        <f t="shared" si="10"/>
        <v>16.5</v>
      </c>
    </row>
    <row r="688" customFormat="1" spans="1:8">
      <c r="A688" s="14">
        <v>46170</v>
      </c>
      <c r="B688" s="15">
        <v>1607131</v>
      </c>
      <c r="C688" s="15" t="s">
        <v>153</v>
      </c>
      <c r="D688" s="16">
        <v>20318229</v>
      </c>
      <c r="E688" s="15" t="s">
        <v>76</v>
      </c>
      <c r="F688" s="16">
        <v>2</v>
      </c>
      <c r="G688" s="17">
        <v>16.5</v>
      </c>
      <c r="H688" s="17">
        <f t="shared" si="10"/>
        <v>33</v>
      </c>
    </row>
    <row r="689" customFormat="1" spans="1:8">
      <c r="A689" s="2">
        <v>46170</v>
      </c>
      <c r="B689" s="3">
        <v>1607131</v>
      </c>
      <c r="C689" s="3" t="s">
        <v>153</v>
      </c>
      <c r="D689" s="4">
        <v>20318262</v>
      </c>
      <c r="E689" s="3" t="s">
        <v>77</v>
      </c>
      <c r="F689" s="4">
        <v>3</v>
      </c>
      <c r="G689" s="5">
        <v>16.5</v>
      </c>
      <c r="H689" s="5">
        <f t="shared" si="10"/>
        <v>49.5</v>
      </c>
    </row>
    <row r="690" customFormat="1" spans="1:8">
      <c r="A690" s="14">
        <v>46170</v>
      </c>
      <c r="B690" s="15">
        <v>1607131</v>
      </c>
      <c r="C690" s="15" t="s">
        <v>153</v>
      </c>
      <c r="D690" s="16">
        <v>20014827</v>
      </c>
      <c r="E690" s="15" t="s">
        <v>84</v>
      </c>
      <c r="F690" s="16">
        <v>3</v>
      </c>
      <c r="G690" s="17">
        <v>16.5</v>
      </c>
      <c r="H690" s="17">
        <f t="shared" si="10"/>
        <v>49.5</v>
      </c>
    </row>
    <row r="691" customFormat="1" spans="1:8">
      <c r="A691" s="2">
        <v>46170</v>
      </c>
      <c r="B691" s="3">
        <v>1607131</v>
      </c>
      <c r="C691" s="3" t="s">
        <v>153</v>
      </c>
      <c r="D691" s="4">
        <v>20342042</v>
      </c>
      <c r="E691" s="3" t="s">
        <v>131</v>
      </c>
      <c r="F691" s="4">
        <v>1</v>
      </c>
      <c r="G691" s="5">
        <v>16.5</v>
      </c>
      <c r="H691" s="5">
        <f t="shared" si="10"/>
        <v>16.5</v>
      </c>
    </row>
    <row r="692" customFormat="1" spans="1:8">
      <c r="A692" s="2">
        <v>46170</v>
      </c>
      <c r="B692" s="3">
        <v>1607286</v>
      </c>
      <c r="C692" s="3" t="s">
        <v>150</v>
      </c>
      <c r="D692" s="4">
        <v>20326613</v>
      </c>
      <c r="E692" s="3" t="s">
        <v>78</v>
      </c>
      <c r="F692" s="4">
        <v>6</v>
      </c>
      <c r="G692" s="5">
        <v>88</v>
      </c>
      <c r="H692" s="5">
        <f t="shared" si="10"/>
        <v>528</v>
      </c>
    </row>
    <row r="693" customFormat="1" spans="1:8">
      <c r="A693" s="2">
        <v>46170</v>
      </c>
      <c r="B693" s="3">
        <v>1607286</v>
      </c>
      <c r="C693" s="3" t="s">
        <v>150</v>
      </c>
      <c r="D693" s="4">
        <v>20318094</v>
      </c>
      <c r="E693" s="3" t="s">
        <v>102</v>
      </c>
      <c r="F693" s="4">
        <v>1</v>
      </c>
      <c r="G693" s="5">
        <v>148.5</v>
      </c>
      <c r="H693" s="5">
        <f t="shared" si="10"/>
        <v>148.5</v>
      </c>
    </row>
    <row r="694" customFormat="1" spans="1:8">
      <c r="A694" s="2">
        <v>46170</v>
      </c>
      <c r="B694" s="3">
        <v>1607286</v>
      </c>
      <c r="C694" s="3" t="s">
        <v>150</v>
      </c>
      <c r="D694" s="4">
        <v>20312951</v>
      </c>
      <c r="E694" s="3" t="s">
        <v>121</v>
      </c>
      <c r="F694" s="4">
        <v>1</v>
      </c>
      <c r="G694" s="5">
        <v>165</v>
      </c>
      <c r="H694" s="5">
        <f t="shared" si="10"/>
        <v>165</v>
      </c>
    </row>
    <row r="695" customFormat="1" spans="1:8">
      <c r="A695" s="2">
        <v>46170</v>
      </c>
      <c r="B695" s="3">
        <v>1607286</v>
      </c>
      <c r="C695" s="3" t="s">
        <v>151</v>
      </c>
      <c r="D695" s="4">
        <v>20421967</v>
      </c>
      <c r="E695" s="3" t="s">
        <v>66</v>
      </c>
      <c r="F695" s="4">
        <v>1</v>
      </c>
      <c r="G695" s="5">
        <v>8</v>
      </c>
      <c r="H695" s="5">
        <f t="shared" si="10"/>
        <v>8</v>
      </c>
    </row>
    <row r="696" customFormat="1" spans="1:8">
      <c r="A696" s="2">
        <v>46170</v>
      </c>
      <c r="B696" s="3">
        <v>1607286</v>
      </c>
      <c r="C696" s="3" t="s">
        <v>151</v>
      </c>
      <c r="D696" s="4">
        <v>20329843</v>
      </c>
      <c r="E696" s="3" t="s">
        <v>92</v>
      </c>
      <c r="F696" s="4">
        <v>1</v>
      </c>
      <c r="G696" s="5">
        <v>11</v>
      </c>
      <c r="H696" s="5">
        <f t="shared" si="10"/>
        <v>11</v>
      </c>
    </row>
    <row r="697" customFormat="1" spans="1:8">
      <c r="A697" s="2">
        <v>46170</v>
      </c>
      <c r="B697" s="3">
        <v>1607286</v>
      </c>
      <c r="C697" s="3" t="s">
        <v>151</v>
      </c>
      <c r="D697" s="4">
        <v>20318250</v>
      </c>
      <c r="E697" s="3" t="s">
        <v>113</v>
      </c>
      <c r="F697" s="4">
        <v>1</v>
      </c>
      <c r="G697" s="5">
        <v>8</v>
      </c>
      <c r="H697" s="5">
        <f t="shared" si="10"/>
        <v>8</v>
      </c>
    </row>
    <row r="698" customFormat="1" spans="1:8">
      <c r="A698" s="2">
        <v>46170</v>
      </c>
      <c r="B698" s="3">
        <v>1607286</v>
      </c>
      <c r="C698" s="3" t="s">
        <v>151</v>
      </c>
      <c r="D698" s="4">
        <v>20331668</v>
      </c>
      <c r="E698" s="3" t="s">
        <v>115</v>
      </c>
      <c r="F698" s="4">
        <v>1</v>
      </c>
      <c r="G698" s="5">
        <v>8</v>
      </c>
      <c r="H698" s="5">
        <f t="shared" si="10"/>
        <v>8</v>
      </c>
    </row>
    <row r="699" customFormat="1" spans="1:8">
      <c r="A699" s="2">
        <v>46170</v>
      </c>
      <c r="B699" s="3">
        <v>1607286</v>
      </c>
      <c r="C699" s="3" t="s">
        <v>151</v>
      </c>
      <c r="D699" s="4">
        <v>20329847</v>
      </c>
      <c r="E699" s="3" t="s">
        <v>129</v>
      </c>
      <c r="F699" s="4">
        <v>1</v>
      </c>
      <c r="G699" s="5">
        <v>13</v>
      </c>
      <c r="H699" s="5">
        <f t="shared" si="10"/>
        <v>13</v>
      </c>
    </row>
    <row r="700" customFormat="1" spans="1:8">
      <c r="A700" s="2">
        <v>46170</v>
      </c>
      <c r="B700" s="3">
        <v>1607286</v>
      </c>
      <c r="C700" s="3" t="s">
        <v>151</v>
      </c>
      <c r="D700" s="4">
        <v>20318231</v>
      </c>
      <c r="E700" s="3" t="s">
        <v>130</v>
      </c>
      <c r="F700" s="4">
        <v>2</v>
      </c>
      <c r="G700" s="5">
        <v>16.5</v>
      </c>
      <c r="H700" s="5">
        <f t="shared" si="10"/>
        <v>33</v>
      </c>
    </row>
    <row r="701" customFormat="1" spans="1:8">
      <c r="A701" s="2">
        <v>46170</v>
      </c>
      <c r="B701" s="3">
        <v>1607286</v>
      </c>
      <c r="C701" s="3" t="s">
        <v>151</v>
      </c>
      <c r="D701" s="4">
        <v>20333142</v>
      </c>
      <c r="E701" s="3" t="s">
        <v>138</v>
      </c>
      <c r="F701" s="4">
        <v>2</v>
      </c>
      <c r="G701" s="5">
        <v>22</v>
      </c>
      <c r="H701" s="5">
        <f t="shared" si="10"/>
        <v>44</v>
      </c>
    </row>
    <row r="702" customFormat="1" spans="1:8">
      <c r="A702" s="2">
        <v>46170</v>
      </c>
      <c r="B702" s="3">
        <v>1607286</v>
      </c>
      <c r="C702" s="3" t="s">
        <v>155</v>
      </c>
      <c r="D702" s="4">
        <v>20322228</v>
      </c>
      <c r="E702" s="3" t="s">
        <v>74</v>
      </c>
      <c r="F702" s="4">
        <v>1</v>
      </c>
      <c r="G702" s="5">
        <v>15</v>
      </c>
      <c r="H702" s="5">
        <f t="shared" si="10"/>
        <v>15</v>
      </c>
    </row>
    <row r="703" customFormat="1" spans="1:8">
      <c r="A703" s="2">
        <v>46170</v>
      </c>
      <c r="B703" s="3">
        <v>1607286</v>
      </c>
      <c r="C703" s="3" t="s">
        <v>156</v>
      </c>
      <c r="D703" s="4">
        <v>20322235</v>
      </c>
      <c r="E703" s="3" t="s">
        <v>111</v>
      </c>
      <c r="F703" s="4">
        <v>5</v>
      </c>
      <c r="G703" s="5">
        <v>2.5</v>
      </c>
      <c r="H703" s="5">
        <f t="shared" si="10"/>
        <v>12.5</v>
      </c>
    </row>
    <row r="704" customFormat="1" spans="1:8">
      <c r="A704" s="14">
        <v>46170</v>
      </c>
      <c r="B704" s="15">
        <v>1607286</v>
      </c>
      <c r="C704" s="15" t="s">
        <v>153</v>
      </c>
      <c r="D704" s="16">
        <v>20318229</v>
      </c>
      <c r="E704" s="15" t="s">
        <v>76</v>
      </c>
      <c r="F704" s="16">
        <v>1</v>
      </c>
      <c r="G704" s="17">
        <v>16.5</v>
      </c>
      <c r="H704" s="17">
        <f t="shared" si="10"/>
        <v>16.5</v>
      </c>
    </row>
    <row r="705" customFormat="1" spans="1:8">
      <c r="A705" s="2">
        <v>46170</v>
      </c>
      <c r="B705" s="3">
        <v>1607286</v>
      </c>
      <c r="C705" s="3" t="s">
        <v>153</v>
      </c>
      <c r="D705" s="4">
        <v>20318262</v>
      </c>
      <c r="E705" s="3" t="s">
        <v>77</v>
      </c>
      <c r="F705" s="4">
        <v>3</v>
      </c>
      <c r="G705" s="5">
        <v>16.5</v>
      </c>
      <c r="H705" s="5">
        <f t="shared" si="10"/>
        <v>49.5</v>
      </c>
    </row>
    <row r="706" customFormat="1" spans="1:8">
      <c r="A706" s="2">
        <v>46170</v>
      </c>
      <c r="B706" s="3">
        <v>1607286</v>
      </c>
      <c r="C706" s="3" t="s">
        <v>153</v>
      </c>
      <c r="D706" s="4">
        <v>20321688</v>
      </c>
      <c r="E706" s="3" t="s">
        <v>87</v>
      </c>
      <c r="F706" s="4">
        <v>1</v>
      </c>
      <c r="G706" s="5">
        <v>16.5</v>
      </c>
      <c r="H706" s="5">
        <f t="shared" ref="H706:H769" si="11">G706*F706</f>
        <v>16.5</v>
      </c>
    </row>
    <row r="707" customFormat="1" spans="1:8">
      <c r="A707" s="2">
        <v>46170</v>
      </c>
      <c r="B707" s="3">
        <v>1607292</v>
      </c>
      <c r="C707" s="3" t="s">
        <v>150</v>
      </c>
      <c r="D707" s="4">
        <v>20326613</v>
      </c>
      <c r="E707" s="3" t="s">
        <v>78</v>
      </c>
      <c r="F707" s="4">
        <v>2</v>
      </c>
      <c r="G707" s="5">
        <v>88</v>
      </c>
      <c r="H707" s="5">
        <f t="shared" si="11"/>
        <v>176</v>
      </c>
    </row>
    <row r="708" customFormat="1" spans="1:8">
      <c r="A708" s="2">
        <v>46170</v>
      </c>
      <c r="B708" s="3">
        <v>1607292</v>
      </c>
      <c r="C708" s="3" t="s">
        <v>151</v>
      </c>
      <c r="D708" s="4">
        <v>20318247</v>
      </c>
      <c r="E708" s="3" t="s">
        <v>69</v>
      </c>
      <c r="F708" s="4">
        <v>2</v>
      </c>
      <c r="G708" s="5">
        <v>8</v>
      </c>
      <c r="H708" s="5">
        <f t="shared" si="11"/>
        <v>16</v>
      </c>
    </row>
    <row r="709" customFormat="1" spans="1:8">
      <c r="A709" s="2">
        <v>46170</v>
      </c>
      <c r="B709" s="3">
        <v>1607292</v>
      </c>
      <c r="C709" s="3" t="s">
        <v>151</v>
      </c>
      <c r="D709" s="4">
        <v>20329846</v>
      </c>
      <c r="E709" s="3" t="s">
        <v>90</v>
      </c>
      <c r="F709" s="4">
        <v>1</v>
      </c>
      <c r="G709" s="5">
        <v>13.5</v>
      </c>
      <c r="H709" s="5">
        <f t="shared" si="11"/>
        <v>13.5</v>
      </c>
    </row>
    <row r="710" customFormat="1" spans="1:8">
      <c r="A710" s="2">
        <v>46170</v>
      </c>
      <c r="B710" s="3">
        <v>1607292</v>
      </c>
      <c r="C710" s="3" t="s">
        <v>151</v>
      </c>
      <c r="D710" s="4">
        <v>20318166</v>
      </c>
      <c r="E710" s="3" t="s">
        <v>93</v>
      </c>
      <c r="F710" s="4">
        <v>3</v>
      </c>
      <c r="G710" s="5">
        <v>8</v>
      </c>
      <c r="H710" s="5">
        <f t="shared" si="11"/>
        <v>24</v>
      </c>
    </row>
    <row r="711" customFormat="1" spans="1:8">
      <c r="A711" s="2">
        <v>46170</v>
      </c>
      <c r="B711" s="3">
        <v>1607292</v>
      </c>
      <c r="C711" s="3" t="s">
        <v>151</v>
      </c>
      <c r="D711" s="4">
        <v>20329845</v>
      </c>
      <c r="E711" s="3" t="s">
        <v>94</v>
      </c>
      <c r="F711" s="4">
        <v>1</v>
      </c>
      <c r="G711" s="5">
        <v>8</v>
      </c>
      <c r="H711" s="5">
        <f t="shared" si="11"/>
        <v>8</v>
      </c>
    </row>
    <row r="712" customFormat="1" spans="1:8">
      <c r="A712" s="2">
        <v>46170</v>
      </c>
      <c r="B712" s="3">
        <v>1607292</v>
      </c>
      <c r="C712" s="3" t="s">
        <v>151</v>
      </c>
      <c r="D712" s="4">
        <v>20318250</v>
      </c>
      <c r="E712" s="3" t="s">
        <v>113</v>
      </c>
      <c r="F712" s="4">
        <v>1</v>
      </c>
      <c r="G712" s="5">
        <v>8</v>
      </c>
      <c r="H712" s="5">
        <f t="shared" si="11"/>
        <v>8</v>
      </c>
    </row>
    <row r="713" customFormat="1" spans="1:8">
      <c r="A713" s="2">
        <v>46170</v>
      </c>
      <c r="B713" s="3">
        <v>1607292</v>
      </c>
      <c r="C713" s="3" t="s">
        <v>151</v>
      </c>
      <c r="D713" s="4">
        <v>20331668</v>
      </c>
      <c r="E713" s="3" t="s">
        <v>115</v>
      </c>
      <c r="F713" s="4">
        <v>1</v>
      </c>
      <c r="G713" s="5">
        <v>8</v>
      </c>
      <c r="H713" s="5">
        <f t="shared" si="11"/>
        <v>8</v>
      </c>
    </row>
    <row r="714" customFormat="1" spans="1:8">
      <c r="A714" s="2">
        <v>46170</v>
      </c>
      <c r="B714" s="3">
        <v>1607292</v>
      </c>
      <c r="C714" s="3" t="s">
        <v>151</v>
      </c>
      <c r="D714" s="4">
        <v>20333142</v>
      </c>
      <c r="E714" s="3" t="s">
        <v>138</v>
      </c>
      <c r="F714" s="4">
        <v>1</v>
      </c>
      <c r="G714" s="5">
        <v>22</v>
      </c>
      <c r="H714" s="5">
        <f t="shared" si="11"/>
        <v>22</v>
      </c>
    </row>
    <row r="715" customFormat="1" spans="1:8">
      <c r="A715" s="2">
        <v>46170</v>
      </c>
      <c r="B715" s="3">
        <v>1607292</v>
      </c>
      <c r="C715" s="3" t="s">
        <v>152</v>
      </c>
      <c r="D715" s="4">
        <v>20328892</v>
      </c>
      <c r="E715" s="3" t="s">
        <v>107</v>
      </c>
      <c r="F715" s="4">
        <v>1</v>
      </c>
      <c r="G715" s="5">
        <v>88</v>
      </c>
      <c r="H715" s="5">
        <f t="shared" si="11"/>
        <v>88</v>
      </c>
    </row>
    <row r="716" customFormat="1" spans="1:8">
      <c r="A716" s="2">
        <v>46170</v>
      </c>
      <c r="B716" s="3">
        <v>1607292</v>
      </c>
      <c r="C716" s="3" t="s">
        <v>152</v>
      </c>
      <c r="D716" s="4">
        <v>20351811</v>
      </c>
      <c r="E716" s="3" t="s">
        <v>110</v>
      </c>
      <c r="F716" s="4">
        <v>2</v>
      </c>
      <c r="G716" s="5">
        <v>55</v>
      </c>
      <c r="H716" s="5">
        <f t="shared" si="11"/>
        <v>110</v>
      </c>
    </row>
    <row r="717" customFormat="1" spans="1:8">
      <c r="A717" s="2">
        <v>46170</v>
      </c>
      <c r="B717" s="3">
        <v>1607292</v>
      </c>
      <c r="C717" s="3" t="s">
        <v>153</v>
      </c>
      <c r="D717" s="4">
        <v>20321257</v>
      </c>
      <c r="E717" s="3" t="s">
        <v>68</v>
      </c>
      <c r="F717" s="4">
        <v>1</v>
      </c>
      <c r="G717" s="5">
        <v>16.5</v>
      </c>
      <c r="H717" s="5">
        <f t="shared" si="11"/>
        <v>16.5</v>
      </c>
    </row>
    <row r="718" customFormat="1" spans="1:8">
      <c r="A718" s="2">
        <v>46171</v>
      </c>
      <c r="B718" s="3">
        <v>1607517</v>
      </c>
      <c r="C718" s="3" t="s">
        <v>150</v>
      </c>
      <c r="D718" s="4">
        <v>20328374</v>
      </c>
      <c r="E718" s="3" t="s">
        <v>72</v>
      </c>
      <c r="F718" s="4">
        <v>1</v>
      </c>
      <c r="G718" s="5">
        <v>264</v>
      </c>
      <c r="H718" s="5">
        <f t="shared" si="11"/>
        <v>264</v>
      </c>
    </row>
    <row r="719" customFormat="1" spans="1:8">
      <c r="A719" s="2">
        <v>46171</v>
      </c>
      <c r="B719" s="3">
        <v>1607517</v>
      </c>
      <c r="C719" s="3" t="s">
        <v>150</v>
      </c>
      <c r="D719" s="4">
        <v>20326613</v>
      </c>
      <c r="E719" s="3" t="s">
        <v>78</v>
      </c>
      <c r="F719" s="4">
        <v>13</v>
      </c>
      <c r="G719" s="5">
        <v>88</v>
      </c>
      <c r="H719" s="5">
        <f t="shared" si="11"/>
        <v>1144</v>
      </c>
    </row>
    <row r="720" customFormat="1" spans="1:8">
      <c r="A720" s="2">
        <v>46171</v>
      </c>
      <c r="B720" s="3">
        <v>1607517</v>
      </c>
      <c r="C720" s="3" t="s">
        <v>150</v>
      </c>
      <c r="D720" s="4">
        <v>20318156</v>
      </c>
      <c r="E720" s="3" t="s">
        <v>112</v>
      </c>
      <c r="F720" s="4">
        <v>1</v>
      </c>
      <c r="G720" s="5">
        <v>154</v>
      </c>
      <c r="H720" s="5">
        <f t="shared" si="11"/>
        <v>154</v>
      </c>
    </row>
    <row r="721" customFormat="1" spans="1:8">
      <c r="A721" s="2">
        <v>46171</v>
      </c>
      <c r="B721" s="3">
        <v>1607517</v>
      </c>
      <c r="C721" s="3" t="s">
        <v>154</v>
      </c>
      <c r="D721" s="4">
        <v>20328192</v>
      </c>
      <c r="E721" s="3" t="s">
        <v>75</v>
      </c>
      <c r="F721" s="4">
        <v>2</v>
      </c>
      <c r="G721" s="5">
        <v>38.5</v>
      </c>
      <c r="H721" s="5">
        <f t="shared" si="11"/>
        <v>77</v>
      </c>
    </row>
    <row r="722" customFormat="1" spans="1:8">
      <c r="A722" s="2">
        <v>46171</v>
      </c>
      <c r="B722" s="3">
        <v>1607517</v>
      </c>
      <c r="C722" s="3" t="s">
        <v>151</v>
      </c>
      <c r="D722" s="4">
        <v>20318257</v>
      </c>
      <c r="E722" s="3" t="s">
        <v>86</v>
      </c>
      <c r="F722" s="4">
        <v>1</v>
      </c>
      <c r="G722" s="5">
        <v>8</v>
      </c>
      <c r="H722" s="5">
        <f t="shared" si="11"/>
        <v>8</v>
      </c>
    </row>
    <row r="723" customFormat="1" spans="1:8">
      <c r="A723" s="2">
        <v>46171</v>
      </c>
      <c r="B723" s="3">
        <v>1607517</v>
      </c>
      <c r="C723" s="3" t="s">
        <v>151</v>
      </c>
      <c r="D723" s="4">
        <v>20329846</v>
      </c>
      <c r="E723" s="3" t="s">
        <v>90</v>
      </c>
      <c r="F723" s="4">
        <v>1</v>
      </c>
      <c r="G723" s="5">
        <v>13.5</v>
      </c>
      <c r="H723" s="5">
        <f t="shared" si="11"/>
        <v>13.5</v>
      </c>
    </row>
    <row r="724" customFormat="1" spans="1:8">
      <c r="A724" s="2">
        <v>46171</v>
      </c>
      <c r="B724" s="3">
        <v>1607517</v>
      </c>
      <c r="C724" s="3" t="s">
        <v>151</v>
      </c>
      <c r="D724" s="4">
        <v>20329843</v>
      </c>
      <c r="E724" s="3" t="s">
        <v>92</v>
      </c>
      <c r="F724" s="4">
        <v>1</v>
      </c>
      <c r="G724" s="5">
        <v>11</v>
      </c>
      <c r="H724" s="5">
        <f t="shared" si="11"/>
        <v>11</v>
      </c>
    </row>
    <row r="725" customFormat="1" spans="1:8">
      <c r="A725" s="2">
        <v>46171</v>
      </c>
      <c r="B725" s="3">
        <v>1607517</v>
      </c>
      <c r="C725" s="3" t="s">
        <v>151</v>
      </c>
      <c r="D725" s="4">
        <v>20329981</v>
      </c>
      <c r="E725" s="3" t="s">
        <v>95</v>
      </c>
      <c r="F725" s="4">
        <v>1</v>
      </c>
      <c r="G725" s="5">
        <v>8</v>
      </c>
      <c r="H725" s="5">
        <f t="shared" si="11"/>
        <v>8</v>
      </c>
    </row>
    <row r="726" customFormat="1" spans="1:8">
      <c r="A726" s="2">
        <v>46171</v>
      </c>
      <c r="B726" s="3">
        <v>1607517</v>
      </c>
      <c r="C726" s="3" t="s">
        <v>151</v>
      </c>
      <c r="D726" s="4">
        <v>20318250</v>
      </c>
      <c r="E726" s="3" t="s">
        <v>113</v>
      </c>
      <c r="F726" s="4">
        <v>1</v>
      </c>
      <c r="G726" s="5">
        <v>8</v>
      </c>
      <c r="H726" s="5">
        <f t="shared" si="11"/>
        <v>8</v>
      </c>
    </row>
    <row r="727" customFormat="1" spans="1:8">
      <c r="A727" s="2">
        <v>46171</v>
      </c>
      <c r="B727" s="3">
        <v>1607517</v>
      </c>
      <c r="C727" s="3" t="s">
        <v>151</v>
      </c>
      <c r="D727" s="4">
        <v>20329847</v>
      </c>
      <c r="E727" s="3" t="s">
        <v>129</v>
      </c>
      <c r="F727" s="4">
        <v>1</v>
      </c>
      <c r="G727" s="5">
        <v>13</v>
      </c>
      <c r="H727" s="5">
        <f t="shared" si="11"/>
        <v>13</v>
      </c>
    </row>
    <row r="728" customFormat="1" spans="1:8">
      <c r="A728" s="2">
        <v>46171</v>
      </c>
      <c r="B728" s="3">
        <v>1607517</v>
      </c>
      <c r="C728" s="3" t="s">
        <v>151</v>
      </c>
      <c r="D728" s="4">
        <v>20318231</v>
      </c>
      <c r="E728" s="3" t="s">
        <v>130</v>
      </c>
      <c r="F728" s="4">
        <v>3</v>
      </c>
      <c r="G728" s="5">
        <v>16.5</v>
      </c>
      <c r="H728" s="5">
        <f t="shared" si="11"/>
        <v>49.5</v>
      </c>
    </row>
    <row r="729" customFormat="1" spans="1:8">
      <c r="A729" s="2">
        <v>46171</v>
      </c>
      <c r="B729" s="3">
        <v>1607517</v>
      </c>
      <c r="C729" s="3" t="s">
        <v>152</v>
      </c>
      <c r="D729" s="4">
        <v>20419565</v>
      </c>
      <c r="E729" s="3" t="s">
        <v>103</v>
      </c>
      <c r="F729" s="4">
        <v>1</v>
      </c>
      <c r="G729" s="5">
        <v>66</v>
      </c>
      <c r="H729" s="5">
        <f t="shared" si="11"/>
        <v>66</v>
      </c>
    </row>
    <row r="730" customFormat="1" spans="1:8">
      <c r="A730" s="2">
        <v>46171</v>
      </c>
      <c r="B730" s="3">
        <v>1607517</v>
      </c>
      <c r="C730" s="3" t="s">
        <v>152</v>
      </c>
      <c r="D730" s="4">
        <v>20351811</v>
      </c>
      <c r="E730" s="3" t="s">
        <v>110</v>
      </c>
      <c r="F730" s="4">
        <v>1</v>
      </c>
      <c r="G730" s="5">
        <v>55</v>
      </c>
      <c r="H730" s="5">
        <f t="shared" si="11"/>
        <v>55</v>
      </c>
    </row>
    <row r="731" customFormat="1" spans="1:8">
      <c r="A731" s="2">
        <v>46171</v>
      </c>
      <c r="B731" s="3">
        <v>1607517</v>
      </c>
      <c r="C731" s="3" t="s">
        <v>153</v>
      </c>
      <c r="D731" s="4">
        <v>20321257</v>
      </c>
      <c r="E731" s="3" t="s">
        <v>68</v>
      </c>
      <c r="F731" s="4">
        <v>5</v>
      </c>
      <c r="G731" s="5">
        <v>16.5</v>
      </c>
      <c r="H731" s="5">
        <f t="shared" si="11"/>
        <v>82.5</v>
      </c>
    </row>
    <row r="732" customFormat="1" spans="1:8">
      <c r="A732" s="2">
        <v>46171</v>
      </c>
      <c r="B732" s="3">
        <v>1607517</v>
      </c>
      <c r="C732" s="3" t="s">
        <v>153</v>
      </c>
      <c r="D732" s="4">
        <v>20329874</v>
      </c>
      <c r="E732" s="3" t="s">
        <v>73</v>
      </c>
      <c r="F732" s="4">
        <v>1</v>
      </c>
      <c r="G732" s="5">
        <v>16.5</v>
      </c>
      <c r="H732" s="5">
        <f t="shared" si="11"/>
        <v>16.5</v>
      </c>
    </row>
    <row r="733" customFormat="1" spans="1:8">
      <c r="A733" s="14">
        <v>46171</v>
      </c>
      <c r="B733" s="15">
        <v>1607517</v>
      </c>
      <c r="C733" s="15" t="s">
        <v>153</v>
      </c>
      <c r="D733" s="16">
        <v>20318229</v>
      </c>
      <c r="E733" s="15" t="s">
        <v>76</v>
      </c>
      <c r="F733" s="16">
        <v>1</v>
      </c>
      <c r="G733" s="17">
        <v>16.5</v>
      </c>
      <c r="H733" s="17">
        <f t="shared" si="11"/>
        <v>16.5</v>
      </c>
    </row>
    <row r="734" customFormat="1" spans="1:8">
      <c r="A734" s="2">
        <v>46171</v>
      </c>
      <c r="B734" s="3">
        <v>1607517</v>
      </c>
      <c r="C734" s="3" t="s">
        <v>153</v>
      </c>
      <c r="D734" s="4">
        <v>20318262</v>
      </c>
      <c r="E734" s="3" t="s">
        <v>77</v>
      </c>
      <c r="F734" s="4">
        <v>2</v>
      </c>
      <c r="G734" s="5">
        <v>16.5</v>
      </c>
      <c r="H734" s="5">
        <f t="shared" si="11"/>
        <v>33</v>
      </c>
    </row>
    <row r="735" customFormat="1" spans="1:8">
      <c r="A735" s="14">
        <v>46171</v>
      </c>
      <c r="B735" s="15">
        <v>1607517</v>
      </c>
      <c r="C735" s="15" t="s">
        <v>153</v>
      </c>
      <c r="D735" s="16">
        <v>20014827</v>
      </c>
      <c r="E735" s="15" t="s">
        <v>84</v>
      </c>
      <c r="F735" s="16">
        <v>2</v>
      </c>
      <c r="G735" s="17">
        <v>16.5</v>
      </c>
      <c r="H735" s="17">
        <f t="shared" si="11"/>
        <v>33</v>
      </c>
    </row>
    <row r="736" customFormat="1" spans="1:8">
      <c r="A736" s="2">
        <v>46171</v>
      </c>
      <c r="B736" s="3">
        <v>1607517</v>
      </c>
      <c r="C736" s="3" t="s">
        <v>153</v>
      </c>
      <c r="D736" s="4">
        <v>20321468</v>
      </c>
      <c r="E736" s="3" t="s">
        <v>89</v>
      </c>
      <c r="F736" s="4">
        <v>1</v>
      </c>
      <c r="G736" s="5">
        <v>16.5</v>
      </c>
      <c r="H736" s="5">
        <f t="shared" si="11"/>
        <v>16.5</v>
      </c>
    </row>
    <row r="737" customFormat="1" spans="1:8">
      <c r="A737" s="2">
        <v>46171</v>
      </c>
      <c r="B737" s="3">
        <v>1607652</v>
      </c>
      <c r="C737" s="3" t="s">
        <v>150</v>
      </c>
      <c r="D737" s="4">
        <v>20326613</v>
      </c>
      <c r="E737" s="3" t="s">
        <v>78</v>
      </c>
      <c r="F737" s="4">
        <v>8</v>
      </c>
      <c r="G737" s="5">
        <v>88</v>
      </c>
      <c r="H737" s="5">
        <f t="shared" si="11"/>
        <v>704</v>
      </c>
    </row>
    <row r="738" customFormat="1" spans="1:8">
      <c r="A738" s="2">
        <v>46171</v>
      </c>
      <c r="B738" s="3">
        <v>1607652</v>
      </c>
      <c r="C738" s="3" t="s">
        <v>151</v>
      </c>
      <c r="D738" s="4">
        <v>20329846</v>
      </c>
      <c r="E738" s="3" t="s">
        <v>90</v>
      </c>
      <c r="F738" s="4">
        <v>1</v>
      </c>
      <c r="G738" s="5">
        <v>13.5</v>
      </c>
      <c r="H738" s="5">
        <f t="shared" si="11"/>
        <v>13.5</v>
      </c>
    </row>
    <row r="739" customFormat="1" spans="1:8">
      <c r="A739" s="2">
        <v>46171</v>
      </c>
      <c r="B739" s="3">
        <v>1607652</v>
      </c>
      <c r="C739" s="3" t="s">
        <v>151</v>
      </c>
      <c r="D739" s="4">
        <v>20329843</v>
      </c>
      <c r="E739" s="3" t="s">
        <v>92</v>
      </c>
      <c r="F739" s="4">
        <v>1</v>
      </c>
      <c r="G739" s="5">
        <v>11</v>
      </c>
      <c r="H739" s="5">
        <f t="shared" si="11"/>
        <v>11</v>
      </c>
    </row>
    <row r="740" customFormat="1" spans="1:8">
      <c r="A740" s="2">
        <v>46171</v>
      </c>
      <c r="B740" s="3">
        <v>1607652</v>
      </c>
      <c r="C740" s="3" t="s">
        <v>151</v>
      </c>
      <c r="D740" s="4">
        <v>20318250</v>
      </c>
      <c r="E740" s="3" t="s">
        <v>113</v>
      </c>
      <c r="F740" s="4">
        <v>2</v>
      </c>
      <c r="G740" s="5">
        <v>8</v>
      </c>
      <c r="H740" s="5">
        <f t="shared" si="11"/>
        <v>16</v>
      </c>
    </row>
    <row r="741" customFormat="1" spans="1:8">
      <c r="A741" s="2">
        <v>46171</v>
      </c>
      <c r="B741" s="3">
        <v>1607652</v>
      </c>
      <c r="C741" s="3" t="s">
        <v>151</v>
      </c>
      <c r="D741" s="4">
        <v>20333778</v>
      </c>
      <c r="E741" s="3" t="s">
        <v>116</v>
      </c>
      <c r="F741" s="4">
        <v>1</v>
      </c>
      <c r="G741" s="5">
        <v>16.5</v>
      </c>
      <c r="H741" s="5">
        <f t="shared" si="11"/>
        <v>16.5</v>
      </c>
    </row>
    <row r="742" customFormat="1" spans="1:8">
      <c r="A742" s="2">
        <v>46171</v>
      </c>
      <c r="B742" s="3">
        <v>1607652</v>
      </c>
      <c r="C742" s="3" t="s">
        <v>151</v>
      </c>
      <c r="D742" s="4">
        <v>20329847</v>
      </c>
      <c r="E742" s="3" t="s">
        <v>129</v>
      </c>
      <c r="F742" s="4">
        <v>1</v>
      </c>
      <c r="G742" s="5">
        <v>13</v>
      </c>
      <c r="H742" s="5">
        <f t="shared" si="11"/>
        <v>13</v>
      </c>
    </row>
    <row r="743" customFormat="1" spans="1:8">
      <c r="A743" s="2">
        <v>46171</v>
      </c>
      <c r="B743" s="3">
        <v>1607652</v>
      </c>
      <c r="C743" s="3" t="s">
        <v>151</v>
      </c>
      <c r="D743" s="4">
        <v>20318231</v>
      </c>
      <c r="E743" s="3" t="s">
        <v>130</v>
      </c>
      <c r="F743" s="4">
        <v>3</v>
      </c>
      <c r="G743" s="5">
        <v>16.5</v>
      </c>
      <c r="H743" s="5">
        <f t="shared" si="11"/>
        <v>49.5</v>
      </c>
    </row>
    <row r="744" customFormat="1" spans="1:8">
      <c r="A744" s="2">
        <v>46171</v>
      </c>
      <c r="B744" s="3">
        <v>1607652</v>
      </c>
      <c r="C744" s="3" t="s">
        <v>155</v>
      </c>
      <c r="D744" s="4">
        <v>20322228</v>
      </c>
      <c r="E744" s="3" t="s">
        <v>74</v>
      </c>
      <c r="F744" s="4">
        <v>1</v>
      </c>
      <c r="G744" s="5">
        <v>15</v>
      </c>
      <c r="H744" s="5">
        <f t="shared" si="11"/>
        <v>15</v>
      </c>
    </row>
    <row r="745" customFormat="1" spans="1:8">
      <c r="A745" s="2">
        <v>46171</v>
      </c>
      <c r="B745" s="3">
        <v>1607652</v>
      </c>
      <c r="C745" s="3" t="s">
        <v>152</v>
      </c>
      <c r="D745" s="4">
        <v>20328892</v>
      </c>
      <c r="E745" s="3" t="s">
        <v>107</v>
      </c>
      <c r="F745" s="4">
        <v>1</v>
      </c>
      <c r="G745" s="5">
        <v>88</v>
      </c>
      <c r="H745" s="5">
        <f t="shared" si="11"/>
        <v>88</v>
      </c>
    </row>
    <row r="746" customFormat="1" spans="1:8">
      <c r="A746" s="2">
        <v>46171</v>
      </c>
      <c r="B746" s="3">
        <v>1607652</v>
      </c>
      <c r="C746" s="3" t="s">
        <v>153</v>
      </c>
      <c r="D746" s="4">
        <v>20329844</v>
      </c>
      <c r="E746" s="3" t="s">
        <v>70</v>
      </c>
      <c r="F746" s="4">
        <v>2</v>
      </c>
      <c r="G746" s="5">
        <v>16.5</v>
      </c>
      <c r="H746" s="5">
        <f t="shared" si="11"/>
        <v>33</v>
      </c>
    </row>
    <row r="747" customFormat="1" spans="1:8">
      <c r="A747" s="14">
        <v>46171</v>
      </c>
      <c r="B747" s="15">
        <v>1607652</v>
      </c>
      <c r="C747" s="15" t="s">
        <v>153</v>
      </c>
      <c r="D747" s="16">
        <v>20318229</v>
      </c>
      <c r="E747" s="15" t="s">
        <v>76</v>
      </c>
      <c r="F747" s="16">
        <v>1</v>
      </c>
      <c r="G747" s="17">
        <v>16.5</v>
      </c>
      <c r="H747" s="17">
        <f t="shared" si="11"/>
        <v>16.5</v>
      </c>
    </row>
    <row r="748" customFormat="1" spans="1:8">
      <c r="A748" s="2">
        <v>46171</v>
      </c>
      <c r="B748" s="3">
        <v>1607652</v>
      </c>
      <c r="C748" s="3" t="s">
        <v>153</v>
      </c>
      <c r="D748" s="4">
        <v>20318262</v>
      </c>
      <c r="E748" s="3" t="s">
        <v>77</v>
      </c>
      <c r="F748" s="4">
        <v>2</v>
      </c>
      <c r="G748" s="5">
        <v>16.5</v>
      </c>
      <c r="H748" s="5">
        <f t="shared" si="11"/>
        <v>33</v>
      </c>
    </row>
    <row r="749" customFormat="1" spans="1:8">
      <c r="A749" s="14">
        <v>46171</v>
      </c>
      <c r="B749" s="15">
        <v>1607652</v>
      </c>
      <c r="C749" s="15" t="s">
        <v>153</v>
      </c>
      <c r="D749" s="16">
        <v>20014827</v>
      </c>
      <c r="E749" s="15" t="s">
        <v>84</v>
      </c>
      <c r="F749" s="16">
        <v>2</v>
      </c>
      <c r="G749" s="17">
        <v>16.5</v>
      </c>
      <c r="H749" s="17">
        <f t="shared" si="11"/>
        <v>33</v>
      </c>
    </row>
    <row r="750" customFormat="1" spans="1:8">
      <c r="A750" s="2">
        <v>46171</v>
      </c>
      <c r="B750" s="3">
        <v>1607652</v>
      </c>
      <c r="C750" s="3" t="s">
        <v>153</v>
      </c>
      <c r="D750" s="4">
        <v>20321468</v>
      </c>
      <c r="E750" s="3" t="s">
        <v>89</v>
      </c>
      <c r="F750" s="4">
        <v>1</v>
      </c>
      <c r="G750" s="5">
        <v>16.5</v>
      </c>
      <c r="H750" s="5">
        <f t="shared" si="11"/>
        <v>16.5</v>
      </c>
    </row>
    <row r="751" customFormat="1" spans="1:8">
      <c r="A751" s="2">
        <v>46172</v>
      </c>
      <c r="B751" s="3">
        <v>1607869</v>
      </c>
      <c r="C751" s="3" t="s">
        <v>150</v>
      </c>
      <c r="D751" s="4">
        <v>20326613</v>
      </c>
      <c r="E751" s="3" t="s">
        <v>78</v>
      </c>
      <c r="F751" s="4">
        <v>10</v>
      </c>
      <c r="G751" s="5">
        <v>88</v>
      </c>
      <c r="H751" s="5">
        <f t="shared" si="11"/>
        <v>880</v>
      </c>
    </row>
    <row r="752" customFormat="1" spans="1:8">
      <c r="A752" s="2">
        <v>46172</v>
      </c>
      <c r="B752" s="3">
        <v>1607869</v>
      </c>
      <c r="C752" s="3" t="s">
        <v>150</v>
      </c>
      <c r="D752" s="4">
        <v>20377845</v>
      </c>
      <c r="E752" s="3" t="s">
        <v>106</v>
      </c>
      <c r="F752" s="4">
        <v>1</v>
      </c>
      <c r="G752" s="5">
        <v>66</v>
      </c>
      <c r="H752" s="5">
        <f t="shared" si="11"/>
        <v>66</v>
      </c>
    </row>
    <row r="753" customFormat="1" spans="1:8">
      <c r="A753" s="2">
        <v>46172</v>
      </c>
      <c r="B753" s="3">
        <v>1607869</v>
      </c>
      <c r="C753" s="3" t="s">
        <v>150</v>
      </c>
      <c r="D753" s="4">
        <v>20318156</v>
      </c>
      <c r="E753" s="3" t="s">
        <v>112</v>
      </c>
      <c r="F753" s="4">
        <v>1</v>
      </c>
      <c r="G753" s="5">
        <v>154</v>
      </c>
      <c r="H753" s="5">
        <f t="shared" si="11"/>
        <v>154</v>
      </c>
    </row>
    <row r="754" customFormat="1" spans="1:8">
      <c r="A754" s="2">
        <v>46172</v>
      </c>
      <c r="B754" s="3">
        <v>1607869</v>
      </c>
      <c r="C754" s="3" t="s">
        <v>151</v>
      </c>
      <c r="D754" s="4">
        <v>20330564</v>
      </c>
      <c r="E754" s="3" t="s">
        <v>71</v>
      </c>
      <c r="F754" s="4">
        <v>1</v>
      </c>
      <c r="G754" s="5">
        <v>16.5</v>
      </c>
      <c r="H754" s="5">
        <f t="shared" si="11"/>
        <v>16.5</v>
      </c>
    </row>
    <row r="755" customFormat="1" spans="1:8">
      <c r="A755" s="2">
        <v>46172</v>
      </c>
      <c r="B755" s="3">
        <v>1607869</v>
      </c>
      <c r="C755" s="3" t="s">
        <v>151</v>
      </c>
      <c r="D755" s="4">
        <v>20329846</v>
      </c>
      <c r="E755" s="3" t="s">
        <v>90</v>
      </c>
      <c r="F755" s="4">
        <v>2</v>
      </c>
      <c r="G755" s="5">
        <v>13.5</v>
      </c>
      <c r="H755" s="5">
        <f t="shared" si="11"/>
        <v>27</v>
      </c>
    </row>
    <row r="756" customFormat="1" spans="1:8">
      <c r="A756" s="2">
        <v>46172</v>
      </c>
      <c r="B756" s="3">
        <v>1607869</v>
      </c>
      <c r="C756" s="3" t="s">
        <v>151</v>
      </c>
      <c r="D756" s="4">
        <v>20329843</v>
      </c>
      <c r="E756" s="3" t="s">
        <v>92</v>
      </c>
      <c r="F756" s="4">
        <v>1</v>
      </c>
      <c r="G756" s="5">
        <v>11</v>
      </c>
      <c r="H756" s="5">
        <f t="shared" si="11"/>
        <v>11</v>
      </c>
    </row>
    <row r="757" customFormat="1" spans="1:8">
      <c r="A757" s="2">
        <v>46172</v>
      </c>
      <c r="B757" s="3">
        <v>1607869</v>
      </c>
      <c r="C757" s="3" t="s">
        <v>151</v>
      </c>
      <c r="D757" s="4">
        <v>20351064</v>
      </c>
      <c r="E757" s="3" t="s">
        <v>99</v>
      </c>
      <c r="F757" s="4">
        <v>2</v>
      </c>
      <c r="G757" s="5">
        <v>13.5</v>
      </c>
      <c r="H757" s="5">
        <f t="shared" si="11"/>
        <v>27</v>
      </c>
    </row>
    <row r="758" customFormat="1" spans="1:8">
      <c r="A758" s="2">
        <v>46172</v>
      </c>
      <c r="B758" s="3">
        <v>1607869</v>
      </c>
      <c r="C758" s="3" t="s">
        <v>151</v>
      </c>
      <c r="D758" s="4">
        <v>20318250</v>
      </c>
      <c r="E758" s="3" t="s">
        <v>113</v>
      </c>
      <c r="F758" s="4">
        <v>1</v>
      </c>
      <c r="G758" s="5">
        <v>8</v>
      </c>
      <c r="H758" s="5">
        <f t="shared" si="11"/>
        <v>8</v>
      </c>
    </row>
    <row r="759" customFormat="1" spans="1:8">
      <c r="A759" s="2">
        <v>46172</v>
      </c>
      <c r="B759" s="3">
        <v>1607869</v>
      </c>
      <c r="C759" s="3" t="s">
        <v>151</v>
      </c>
      <c r="D759" s="4">
        <v>20329847</v>
      </c>
      <c r="E759" s="3" t="s">
        <v>129</v>
      </c>
      <c r="F759" s="4">
        <v>3</v>
      </c>
      <c r="G759" s="5">
        <v>13</v>
      </c>
      <c r="H759" s="5">
        <f t="shared" si="11"/>
        <v>39</v>
      </c>
    </row>
    <row r="760" customFormat="1" spans="1:8">
      <c r="A760" s="2">
        <v>46172</v>
      </c>
      <c r="B760" s="3">
        <v>1607869</v>
      </c>
      <c r="C760" s="3" t="s">
        <v>151</v>
      </c>
      <c r="D760" s="4">
        <v>20318231</v>
      </c>
      <c r="E760" s="3" t="s">
        <v>130</v>
      </c>
      <c r="F760" s="4">
        <v>3</v>
      </c>
      <c r="G760" s="5">
        <v>16.5</v>
      </c>
      <c r="H760" s="5">
        <f t="shared" si="11"/>
        <v>49.5</v>
      </c>
    </row>
    <row r="761" customFormat="1" spans="1:8">
      <c r="A761" s="2">
        <v>46172</v>
      </c>
      <c r="B761" s="3">
        <v>1607869</v>
      </c>
      <c r="C761" s="3" t="s">
        <v>151</v>
      </c>
      <c r="D761" s="4">
        <v>20331667</v>
      </c>
      <c r="E761" s="3" t="s">
        <v>135</v>
      </c>
      <c r="F761" s="4">
        <v>1</v>
      </c>
      <c r="G761" s="5">
        <v>13.5</v>
      </c>
      <c r="H761" s="5">
        <f t="shared" si="11"/>
        <v>13.5</v>
      </c>
    </row>
    <row r="762" customFormat="1" spans="1:8">
      <c r="A762" s="2">
        <v>46172</v>
      </c>
      <c r="B762" s="3">
        <v>1607869</v>
      </c>
      <c r="C762" s="3" t="s">
        <v>151</v>
      </c>
      <c r="D762" s="4">
        <v>20331472</v>
      </c>
      <c r="E762" s="3" t="s">
        <v>141</v>
      </c>
      <c r="F762" s="4">
        <v>1</v>
      </c>
      <c r="G762" s="5">
        <v>8</v>
      </c>
      <c r="H762" s="5">
        <f t="shared" si="11"/>
        <v>8</v>
      </c>
    </row>
    <row r="763" customFormat="1" spans="1:8">
      <c r="A763" s="2">
        <v>46172</v>
      </c>
      <c r="B763" s="3">
        <v>1607869</v>
      </c>
      <c r="C763" s="3" t="s">
        <v>152</v>
      </c>
      <c r="D763" s="4">
        <v>20419565</v>
      </c>
      <c r="E763" s="3" t="s">
        <v>103</v>
      </c>
      <c r="F763" s="4">
        <v>1</v>
      </c>
      <c r="G763" s="5">
        <v>66</v>
      </c>
      <c r="H763" s="5">
        <f t="shared" si="11"/>
        <v>66</v>
      </c>
    </row>
    <row r="764" customFormat="1" spans="1:8">
      <c r="A764" s="2">
        <v>46172</v>
      </c>
      <c r="B764" s="3">
        <v>1607869</v>
      </c>
      <c r="C764" s="3" t="s">
        <v>152</v>
      </c>
      <c r="D764" s="4">
        <v>20394933</v>
      </c>
      <c r="E764" s="3" t="s">
        <v>105</v>
      </c>
      <c r="F764" s="4">
        <v>2</v>
      </c>
      <c r="G764" s="5">
        <v>66</v>
      </c>
      <c r="H764" s="5">
        <f t="shared" si="11"/>
        <v>132</v>
      </c>
    </row>
    <row r="765" customFormat="1" spans="1:8">
      <c r="A765" s="2">
        <v>46172</v>
      </c>
      <c r="B765" s="3">
        <v>1607869</v>
      </c>
      <c r="C765" s="3" t="s">
        <v>152</v>
      </c>
      <c r="D765" s="4">
        <v>20351811</v>
      </c>
      <c r="E765" s="3" t="s">
        <v>110</v>
      </c>
      <c r="F765" s="4">
        <v>7</v>
      </c>
      <c r="G765" s="5">
        <v>55</v>
      </c>
      <c r="H765" s="5">
        <f t="shared" si="11"/>
        <v>385</v>
      </c>
    </row>
    <row r="766" customFormat="1" spans="1:8">
      <c r="A766" s="2">
        <v>46172</v>
      </c>
      <c r="B766" s="3">
        <v>1607869</v>
      </c>
      <c r="C766" s="3" t="s">
        <v>153</v>
      </c>
      <c r="D766" s="4">
        <v>20321257</v>
      </c>
      <c r="E766" s="3" t="s">
        <v>68</v>
      </c>
      <c r="F766" s="4">
        <v>8</v>
      </c>
      <c r="G766" s="5">
        <v>16.5</v>
      </c>
      <c r="H766" s="5">
        <f t="shared" si="11"/>
        <v>132</v>
      </c>
    </row>
    <row r="767" customFormat="1" spans="1:8">
      <c r="A767" s="14">
        <v>46172</v>
      </c>
      <c r="B767" s="15">
        <v>1607869</v>
      </c>
      <c r="C767" s="15" t="s">
        <v>153</v>
      </c>
      <c r="D767" s="16">
        <v>20318229</v>
      </c>
      <c r="E767" s="15" t="s">
        <v>76</v>
      </c>
      <c r="F767" s="16">
        <v>3</v>
      </c>
      <c r="G767" s="17">
        <v>16.5</v>
      </c>
      <c r="H767" s="17">
        <f t="shared" si="11"/>
        <v>49.5</v>
      </c>
    </row>
    <row r="768" customFormat="1" spans="1:8">
      <c r="A768" s="2">
        <v>46172</v>
      </c>
      <c r="B768" s="3">
        <v>1607869</v>
      </c>
      <c r="C768" s="3" t="s">
        <v>153</v>
      </c>
      <c r="D768" s="4">
        <v>20318262</v>
      </c>
      <c r="E768" s="3" t="s">
        <v>77</v>
      </c>
      <c r="F768" s="4">
        <v>2</v>
      </c>
      <c r="G768" s="5">
        <v>16.5</v>
      </c>
      <c r="H768" s="5">
        <f t="shared" si="11"/>
        <v>33</v>
      </c>
    </row>
    <row r="769" customFormat="1" spans="1:8">
      <c r="A769" s="14">
        <v>46172</v>
      </c>
      <c r="B769" s="15">
        <v>1607869</v>
      </c>
      <c r="C769" s="15" t="s">
        <v>153</v>
      </c>
      <c r="D769" s="16">
        <v>20014827</v>
      </c>
      <c r="E769" s="15" t="s">
        <v>84</v>
      </c>
      <c r="F769" s="16">
        <v>3</v>
      </c>
      <c r="G769" s="17">
        <v>16.5</v>
      </c>
      <c r="H769" s="17">
        <f t="shared" si="11"/>
        <v>49.5</v>
      </c>
    </row>
    <row r="770" customFormat="1" spans="1:8">
      <c r="A770" s="2">
        <v>46172</v>
      </c>
      <c r="B770" s="3">
        <v>1607869</v>
      </c>
      <c r="C770" s="3" t="s">
        <v>153</v>
      </c>
      <c r="D770" s="4">
        <v>20321688</v>
      </c>
      <c r="E770" s="3" t="s">
        <v>87</v>
      </c>
      <c r="F770" s="4">
        <v>2</v>
      </c>
      <c r="G770" s="5">
        <v>16.5</v>
      </c>
      <c r="H770" s="5">
        <f t="shared" ref="H770:H833" si="12">G770*F770</f>
        <v>33</v>
      </c>
    </row>
    <row r="771" customFormat="1" spans="1:8">
      <c r="A771" s="2">
        <v>46172</v>
      </c>
      <c r="B771" s="3">
        <v>1607869</v>
      </c>
      <c r="C771" s="3" t="s">
        <v>153</v>
      </c>
      <c r="D771" s="4">
        <v>20342042</v>
      </c>
      <c r="E771" s="3" t="s">
        <v>131</v>
      </c>
      <c r="F771" s="4">
        <v>1</v>
      </c>
      <c r="G771" s="5">
        <v>16.5</v>
      </c>
      <c r="H771" s="5">
        <f t="shared" si="12"/>
        <v>16.5</v>
      </c>
    </row>
    <row r="772" customFormat="1" spans="1:8">
      <c r="A772" s="2">
        <v>46173</v>
      </c>
      <c r="B772" s="3">
        <v>1607960</v>
      </c>
      <c r="C772" s="3" t="s">
        <v>150</v>
      </c>
      <c r="D772" s="4">
        <v>20326613</v>
      </c>
      <c r="E772" s="3" t="s">
        <v>78</v>
      </c>
      <c r="F772" s="4">
        <v>18</v>
      </c>
      <c r="G772" s="5">
        <v>88</v>
      </c>
      <c r="H772" s="5">
        <f t="shared" si="12"/>
        <v>1584</v>
      </c>
    </row>
    <row r="773" customFormat="1" spans="1:8">
      <c r="A773" s="2">
        <v>46173</v>
      </c>
      <c r="B773" s="3">
        <v>1607960</v>
      </c>
      <c r="C773" s="3" t="s">
        <v>151</v>
      </c>
      <c r="D773" s="4">
        <v>20318257</v>
      </c>
      <c r="E773" s="3" t="s">
        <v>86</v>
      </c>
      <c r="F773" s="4">
        <v>1</v>
      </c>
      <c r="G773" s="5">
        <v>8</v>
      </c>
      <c r="H773" s="5">
        <f t="shared" si="12"/>
        <v>8</v>
      </c>
    </row>
    <row r="774" customFormat="1" spans="1:8">
      <c r="A774" s="2">
        <v>46173</v>
      </c>
      <c r="B774" s="3">
        <v>1607960</v>
      </c>
      <c r="C774" s="3" t="s">
        <v>151</v>
      </c>
      <c r="D774" s="4">
        <v>20329846</v>
      </c>
      <c r="E774" s="3" t="s">
        <v>90</v>
      </c>
      <c r="F774" s="4">
        <v>2</v>
      </c>
      <c r="G774" s="5">
        <v>13.5</v>
      </c>
      <c r="H774" s="5">
        <f t="shared" si="12"/>
        <v>27</v>
      </c>
    </row>
    <row r="775" customFormat="1" spans="1:8">
      <c r="A775" s="2">
        <v>46173</v>
      </c>
      <c r="B775" s="3">
        <v>1607960</v>
      </c>
      <c r="C775" s="3" t="s">
        <v>151</v>
      </c>
      <c r="D775" s="4">
        <v>20329981</v>
      </c>
      <c r="E775" s="3" t="s">
        <v>95</v>
      </c>
      <c r="F775" s="4">
        <v>1</v>
      </c>
      <c r="G775" s="5">
        <v>8</v>
      </c>
      <c r="H775" s="5">
        <f t="shared" si="12"/>
        <v>8</v>
      </c>
    </row>
    <row r="776" customFormat="1" spans="1:8">
      <c r="A776" s="2">
        <v>46173</v>
      </c>
      <c r="B776" s="3">
        <v>1607960</v>
      </c>
      <c r="C776" s="3" t="s">
        <v>151</v>
      </c>
      <c r="D776" s="4">
        <v>20331668</v>
      </c>
      <c r="E776" s="3" t="s">
        <v>115</v>
      </c>
      <c r="F776" s="4">
        <v>2</v>
      </c>
      <c r="G776" s="5">
        <v>8</v>
      </c>
      <c r="H776" s="5">
        <f t="shared" si="12"/>
        <v>16</v>
      </c>
    </row>
    <row r="777" customFormat="1" spans="1:8">
      <c r="A777" s="2">
        <v>46173</v>
      </c>
      <c r="B777" s="3">
        <v>1607960</v>
      </c>
      <c r="C777" s="3" t="s">
        <v>151</v>
      </c>
      <c r="D777" s="4">
        <v>20333778</v>
      </c>
      <c r="E777" s="3" t="s">
        <v>116</v>
      </c>
      <c r="F777" s="4">
        <v>3</v>
      </c>
      <c r="G777" s="5">
        <v>16.5</v>
      </c>
      <c r="H777" s="5">
        <f t="shared" si="12"/>
        <v>49.5</v>
      </c>
    </row>
    <row r="778" customFormat="1" spans="1:8">
      <c r="A778" s="2">
        <v>46173</v>
      </c>
      <c r="B778" s="3">
        <v>1607960</v>
      </c>
      <c r="C778" s="3" t="s">
        <v>151</v>
      </c>
      <c r="D778" s="4">
        <v>20329847</v>
      </c>
      <c r="E778" s="3" t="s">
        <v>129</v>
      </c>
      <c r="F778" s="4">
        <v>3</v>
      </c>
      <c r="G778" s="5">
        <v>13</v>
      </c>
      <c r="H778" s="5">
        <f t="shared" si="12"/>
        <v>39</v>
      </c>
    </row>
    <row r="779" customFormat="1" spans="1:8">
      <c r="A779" s="2">
        <v>46173</v>
      </c>
      <c r="B779" s="3">
        <v>1607960</v>
      </c>
      <c r="C779" s="3" t="s">
        <v>151</v>
      </c>
      <c r="D779" s="4">
        <v>20318231</v>
      </c>
      <c r="E779" s="3" t="s">
        <v>130</v>
      </c>
      <c r="F779" s="4">
        <v>3</v>
      </c>
      <c r="G779" s="5">
        <v>16.5</v>
      </c>
      <c r="H779" s="5">
        <f t="shared" si="12"/>
        <v>49.5</v>
      </c>
    </row>
    <row r="780" customFormat="1" spans="1:8">
      <c r="A780" s="2">
        <v>46173</v>
      </c>
      <c r="B780" s="3">
        <v>1607960</v>
      </c>
      <c r="C780" s="3" t="s">
        <v>152</v>
      </c>
      <c r="D780" s="4">
        <v>20351811</v>
      </c>
      <c r="E780" s="3" t="s">
        <v>110</v>
      </c>
      <c r="F780" s="4">
        <v>1</v>
      </c>
      <c r="G780" s="5">
        <v>55</v>
      </c>
      <c r="H780" s="5">
        <f t="shared" si="12"/>
        <v>55</v>
      </c>
    </row>
    <row r="781" customFormat="1" spans="1:8">
      <c r="A781" s="2">
        <v>46173</v>
      </c>
      <c r="B781" s="3">
        <v>1607960</v>
      </c>
      <c r="C781" s="3" t="s">
        <v>153</v>
      </c>
      <c r="D781" s="4">
        <v>20321257</v>
      </c>
      <c r="E781" s="3" t="s">
        <v>68</v>
      </c>
      <c r="F781" s="4">
        <v>1</v>
      </c>
      <c r="G781" s="5">
        <v>16.5</v>
      </c>
      <c r="H781" s="5">
        <f t="shared" si="12"/>
        <v>16.5</v>
      </c>
    </row>
    <row r="782" customFormat="1" spans="1:8">
      <c r="A782" s="14">
        <v>46173</v>
      </c>
      <c r="B782" s="15">
        <v>1607960</v>
      </c>
      <c r="C782" s="15" t="s">
        <v>153</v>
      </c>
      <c r="D782" s="16">
        <v>20318229</v>
      </c>
      <c r="E782" s="15" t="s">
        <v>76</v>
      </c>
      <c r="F782" s="16">
        <v>3</v>
      </c>
      <c r="G782" s="17">
        <v>16.5</v>
      </c>
      <c r="H782" s="17">
        <f t="shared" si="12"/>
        <v>49.5</v>
      </c>
    </row>
    <row r="783" customFormat="1" spans="1:8">
      <c r="A783" s="14">
        <v>46173</v>
      </c>
      <c r="B783" s="15">
        <v>1607960</v>
      </c>
      <c r="C783" s="15" t="s">
        <v>153</v>
      </c>
      <c r="D783" s="16">
        <v>20014827</v>
      </c>
      <c r="E783" s="15" t="s">
        <v>84</v>
      </c>
      <c r="F783" s="16">
        <v>1</v>
      </c>
      <c r="G783" s="17">
        <v>16.5</v>
      </c>
      <c r="H783" s="17">
        <f t="shared" si="12"/>
        <v>16.5</v>
      </c>
    </row>
    <row r="784" customFormat="1" spans="1:8">
      <c r="A784" s="2">
        <v>46173</v>
      </c>
      <c r="B784" s="3">
        <v>1607960</v>
      </c>
      <c r="C784" s="3" t="s">
        <v>153</v>
      </c>
      <c r="D784" s="4">
        <v>20342042</v>
      </c>
      <c r="E784" s="3" t="s">
        <v>131</v>
      </c>
      <c r="F784" s="4">
        <v>1</v>
      </c>
      <c r="G784" s="5">
        <v>16.5</v>
      </c>
      <c r="H784" s="5">
        <f t="shared" si="12"/>
        <v>16.5</v>
      </c>
    </row>
    <row r="785" customFormat="1" spans="1:8">
      <c r="A785" s="2">
        <v>46174</v>
      </c>
      <c r="B785" s="3">
        <v>1608021</v>
      </c>
      <c r="C785" s="3" t="s">
        <v>150</v>
      </c>
      <c r="D785" s="4">
        <v>20326613</v>
      </c>
      <c r="E785" s="3" t="s">
        <v>78</v>
      </c>
      <c r="F785" s="4">
        <v>17</v>
      </c>
      <c r="G785" s="5">
        <v>88</v>
      </c>
      <c r="H785" s="5">
        <f t="shared" si="12"/>
        <v>1496</v>
      </c>
    </row>
    <row r="786" customFormat="1" spans="1:8">
      <c r="A786" s="2">
        <v>46174</v>
      </c>
      <c r="B786" s="3">
        <v>1608021</v>
      </c>
      <c r="C786" s="3" t="s">
        <v>151</v>
      </c>
      <c r="D786" s="4">
        <v>20318235</v>
      </c>
      <c r="E786" s="3" t="s">
        <v>88</v>
      </c>
      <c r="F786" s="4">
        <v>1</v>
      </c>
      <c r="G786" s="5">
        <v>8</v>
      </c>
      <c r="H786" s="5">
        <f t="shared" si="12"/>
        <v>8</v>
      </c>
    </row>
    <row r="787" customFormat="1" spans="1:8">
      <c r="A787" s="2">
        <v>46174</v>
      </c>
      <c r="B787" s="3">
        <v>1608021</v>
      </c>
      <c r="C787" s="3" t="s">
        <v>151</v>
      </c>
      <c r="D787" s="4">
        <v>20329846</v>
      </c>
      <c r="E787" s="3" t="s">
        <v>90</v>
      </c>
      <c r="F787" s="4">
        <v>3</v>
      </c>
      <c r="G787" s="5">
        <v>13.5</v>
      </c>
      <c r="H787" s="5">
        <f t="shared" si="12"/>
        <v>40.5</v>
      </c>
    </row>
    <row r="788" customFormat="1" spans="1:8">
      <c r="A788" s="2">
        <v>46174</v>
      </c>
      <c r="B788" s="3">
        <v>1608021</v>
      </c>
      <c r="C788" s="3" t="s">
        <v>151</v>
      </c>
      <c r="D788" s="4">
        <v>20318250</v>
      </c>
      <c r="E788" s="3" t="s">
        <v>113</v>
      </c>
      <c r="F788" s="4">
        <v>1</v>
      </c>
      <c r="G788" s="5">
        <v>8</v>
      </c>
      <c r="H788" s="5">
        <f t="shared" si="12"/>
        <v>8</v>
      </c>
    </row>
    <row r="789" customFormat="1" spans="1:8">
      <c r="A789" s="2">
        <v>46174</v>
      </c>
      <c r="B789" s="3">
        <v>1608021</v>
      </c>
      <c r="C789" s="3" t="s">
        <v>151</v>
      </c>
      <c r="D789" s="4">
        <v>20331668</v>
      </c>
      <c r="E789" s="3" t="s">
        <v>115</v>
      </c>
      <c r="F789" s="4">
        <v>1</v>
      </c>
      <c r="G789" s="5">
        <v>8</v>
      </c>
      <c r="H789" s="5">
        <f t="shared" si="12"/>
        <v>8</v>
      </c>
    </row>
    <row r="790" customFormat="1" spans="1:8">
      <c r="A790" s="2">
        <v>46174</v>
      </c>
      <c r="B790" s="3">
        <v>1608021</v>
      </c>
      <c r="C790" s="3" t="s">
        <v>151</v>
      </c>
      <c r="D790" s="4">
        <v>20333778</v>
      </c>
      <c r="E790" s="3" t="s">
        <v>116</v>
      </c>
      <c r="F790" s="4">
        <v>2</v>
      </c>
      <c r="G790" s="5">
        <v>16.5</v>
      </c>
      <c r="H790" s="5">
        <f t="shared" si="12"/>
        <v>33</v>
      </c>
    </row>
    <row r="791" customFormat="1" spans="1:8">
      <c r="A791" s="2">
        <v>46174</v>
      </c>
      <c r="B791" s="3">
        <v>1608021</v>
      </c>
      <c r="C791" s="3" t="s">
        <v>151</v>
      </c>
      <c r="D791" s="4">
        <v>20329847</v>
      </c>
      <c r="E791" s="3" t="s">
        <v>129</v>
      </c>
      <c r="F791" s="4">
        <v>3</v>
      </c>
      <c r="G791" s="5">
        <v>13</v>
      </c>
      <c r="H791" s="5">
        <f t="shared" si="12"/>
        <v>39</v>
      </c>
    </row>
    <row r="792" customFormat="1" spans="1:8">
      <c r="A792" s="2">
        <v>46174</v>
      </c>
      <c r="B792" s="3">
        <v>1608021</v>
      </c>
      <c r="C792" s="3" t="s">
        <v>151</v>
      </c>
      <c r="D792" s="4">
        <v>20318231</v>
      </c>
      <c r="E792" s="3" t="s">
        <v>130</v>
      </c>
      <c r="F792" s="4">
        <v>3</v>
      </c>
      <c r="G792" s="5">
        <v>16.5</v>
      </c>
      <c r="H792" s="5">
        <f t="shared" si="12"/>
        <v>49.5</v>
      </c>
    </row>
    <row r="793" customFormat="1" spans="1:8">
      <c r="A793" s="2">
        <v>46174</v>
      </c>
      <c r="B793" s="3">
        <v>1608021</v>
      </c>
      <c r="C793" s="3" t="s">
        <v>151</v>
      </c>
      <c r="D793" s="4">
        <v>20331472</v>
      </c>
      <c r="E793" s="3" t="s">
        <v>141</v>
      </c>
      <c r="F793" s="4">
        <v>1</v>
      </c>
      <c r="G793" s="5">
        <v>8</v>
      </c>
      <c r="H793" s="5">
        <f t="shared" si="12"/>
        <v>8</v>
      </c>
    </row>
    <row r="794" customFormat="1" spans="1:8">
      <c r="A794" s="2">
        <v>46174</v>
      </c>
      <c r="B794" s="3">
        <v>1608021</v>
      </c>
      <c r="C794" s="3" t="s">
        <v>155</v>
      </c>
      <c r="D794" s="4">
        <v>20322228</v>
      </c>
      <c r="E794" s="3" t="s">
        <v>74</v>
      </c>
      <c r="F794" s="4">
        <v>1</v>
      </c>
      <c r="G794" s="5">
        <v>15</v>
      </c>
      <c r="H794" s="5">
        <f t="shared" si="12"/>
        <v>15</v>
      </c>
    </row>
    <row r="795" customFormat="1" spans="1:8">
      <c r="A795" s="2">
        <v>46174</v>
      </c>
      <c r="B795" s="3">
        <v>1608021</v>
      </c>
      <c r="C795" s="3" t="s">
        <v>153</v>
      </c>
      <c r="D795" s="4">
        <v>20321257</v>
      </c>
      <c r="E795" s="3" t="s">
        <v>68</v>
      </c>
      <c r="F795" s="4">
        <v>2</v>
      </c>
      <c r="G795" s="5">
        <v>16.5</v>
      </c>
      <c r="H795" s="5">
        <f t="shared" si="12"/>
        <v>33</v>
      </c>
    </row>
    <row r="796" customFormat="1" spans="1:8">
      <c r="A796" s="2">
        <v>46174</v>
      </c>
      <c r="B796" s="3">
        <v>1608021</v>
      </c>
      <c r="C796" s="3" t="s">
        <v>153</v>
      </c>
      <c r="D796" s="4">
        <v>20318262</v>
      </c>
      <c r="E796" s="3" t="s">
        <v>77</v>
      </c>
      <c r="F796" s="4">
        <v>1</v>
      </c>
      <c r="G796" s="5">
        <v>16.5</v>
      </c>
      <c r="H796" s="5">
        <f t="shared" si="12"/>
        <v>16.5</v>
      </c>
    </row>
    <row r="797" customFormat="1" spans="1:8">
      <c r="A797" s="14">
        <v>46174</v>
      </c>
      <c r="B797" s="15">
        <v>1608021</v>
      </c>
      <c r="C797" s="15" t="s">
        <v>153</v>
      </c>
      <c r="D797" s="16">
        <v>20014827</v>
      </c>
      <c r="E797" s="15" t="s">
        <v>84</v>
      </c>
      <c r="F797" s="16">
        <v>3</v>
      </c>
      <c r="G797" s="17">
        <v>16.5</v>
      </c>
      <c r="H797" s="17">
        <f t="shared" si="12"/>
        <v>49.5</v>
      </c>
    </row>
    <row r="798" customFormat="1" spans="1:8">
      <c r="A798" s="14">
        <v>46174</v>
      </c>
      <c r="B798" s="15">
        <v>1608021</v>
      </c>
      <c r="C798" s="15" t="s">
        <v>153</v>
      </c>
      <c r="D798" s="16">
        <v>20014824</v>
      </c>
      <c r="E798" s="15" t="s">
        <v>85</v>
      </c>
      <c r="F798" s="16">
        <v>1</v>
      </c>
      <c r="G798" s="17">
        <v>16.5</v>
      </c>
      <c r="H798" s="17">
        <f t="shared" si="12"/>
        <v>16.5</v>
      </c>
    </row>
    <row r="799" customFormat="1" spans="1:8">
      <c r="A799" s="2">
        <v>46174</v>
      </c>
      <c r="B799" s="3">
        <v>1608021</v>
      </c>
      <c r="C799" s="3" t="s">
        <v>153</v>
      </c>
      <c r="D799" s="4">
        <v>20342042</v>
      </c>
      <c r="E799" s="3" t="s">
        <v>131</v>
      </c>
      <c r="F799" s="4">
        <v>1</v>
      </c>
      <c r="G799" s="5">
        <v>16.5</v>
      </c>
      <c r="H799" s="5">
        <f t="shared" si="12"/>
        <v>16.5</v>
      </c>
    </row>
    <row r="800" customFormat="1" spans="1:8">
      <c r="A800" s="2">
        <v>46174</v>
      </c>
      <c r="B800" s="3">
        <v>1608146</v>
      </c>
      <c r="C800" s="3" t="s">
        <v>150</v>
      </c>
      <c r="D800" s="4">
        <v>20326613</v>
      </c>
      <c r="E800" s="3" t="s">
        <v>78</v>
      </c>
      <c r="F800" s="4">
        <v>7</v>
      </c>
      <c r="G800" s="5">
        <v>88</v>
      </c>
      <c r="H800" s="5">
        <f t="shared" si="12"/>
        <v>616</v>
      </c>
    </row>
    <row r="801" customFormat="1" spans="1:8">
      <c r="A801" s="2">
        <v>46174</v>
      </c>
      <c r="B801" s="3">
        <v>1608146</v>
      </c>
      <c r="C801" s="3" t="s">
        <v>150</v>
      </c>
      <c r="D801" s="4">
        <v>20318156</v>
      </c>
      <c r="E801" s="3" t="s">
        <v>112</v>
      </c>
      <c r="F801" s="4">
        <v>1</v>
      </c>
      <c r="G801" s="5">
        <v>154</v>
      </c>
      <c r="H801" s="5">
        <f t="shared" si="12"/>
        <v>154</v>
      </c>
    </row>
    <row r="802" customFormat="1" spans="1:8">
      <c r="A802" s="2">
        <v>46174</v>
      </c>
      <c r="B802" s="3">
        <v>1608146</v>
      </c>
      <c r="C802" s="3" t="s">
        <v>151</v>
      </c>
      <c r="D802" s="4">
        <v>20318257</v>
      </c>
      <c r="E802" s="3" t="s">
        <v>86</v>
      </c>
      <c r="F802" s="4">
        <v>1</v>
      </c>
      <c r="G802" s="5">
        <v>8</v>
      </c>
      <c r="H802" s="5">
        <f t="shared" si="12"/>
        <v>8</v>
      </c>
    </row>
    <row r="803" customFormat="1" spans="1:8">
      <c r="A803" s="2">
        <v>46174</v>
      </c>
      <c r="B803" s="3">
        <v>1608146</v>
      </c>
      <c r="C803" s="3" t="s">
        <v>151</v>
      </c>
      <c r="D803" s="4">
        <v>20329846</v>
      </c>
      <c r="E803" s="3" t="s">
        <v>90</v>
      </c>
      <c r="F803" s="4">
        <v>2</v>
      </c>
      <c r="G803" s="5">
        <v>13.5</v>
      </c>
      <c r="H803" s="5">
        <f t="shared" si="12"/>
        <v>27</v>
      </c>
    </row>
    <row r="804" customFormat="1" spans="1:8">
      <c r="A804" s="2">
        <v>46174</v>
      </c>
      <c r="B804" s="3">
        <v>1608146</v>
      </c>
      <c r="C804" s="3" t="s">
        <v>151</v>
      </c>
      <c r="D804" s="4">
        <v>20329845</v>
      </c>
      <c r="E804" s="3" t="s">
        <v>94</v>
      </c>
      <c r="F804" s="4">
        <v>1</v>
      </c>
      <c r="G804" s="5">
        <v>8</v>
      </c>
      <c r="H804" s="5">
        <f t="shared" si="12"/>
        <v>8</v>
      </c>
    </row>
    <row r="805" customFormat="1" spans="1:8">
      <c r="A805" s="2">
        <v>46174</v>
      </c>
      <c r="B805" s="3">
        <v>1608146</v>
      </c>
      <c r="C805" s="3" t="s">
        <v>151</v>
      </c>
      <c r="D805" s="4">
        <v>20351064</v>
      </c>
      <c r="E805" s="3" t="s">
        <v>99</v>
      </c>
      <c r="F805" s="4">
        <v>1</v>
      </c>
      <c r="G805" s="5">
        <v>13.5</v>
      </c>
      <c r="H805" s="5">
        <f t="shared" si="12"/>
        <v>13.5</v>
      </c>
    </row>
    <row r="806" customFormat="1" spans="1:8">
      <c r="A806" s="2">
        <v>46174</v>
      </c>
      <c r="B806" s="3">
        <v>1608146</v>
      </c>
      <c r="C806" s="3" t="s">
        <v>151</v>
      </c>
      <c r="D806" s="4">
        <v>20318250</v>
      </c>
      <c r="E806" s="3" t="s">
        <v>113</v>
      </c>
      <c r="F806" s="4">
        <v>1</v>
      </c>
      <c r="G806" s="5">
        <v>8</v>
      </c>
      <c r="H806" s="5">
        <f t="shared" si="12"/>
        <v>8</v>
      </c>
    </row>
    <row r="807" customFormat="1" spans="1:8">
      <c r="A807" s="2">
        <v>46174</v>
      </c>
      <c r="B807" s="3">
        <v>1608146</v>
      </c>
      <c r="C807" s="3" t="s">
        <v>151</v>
      </c>
      <c r="D807" s="4">
        <v>20331668</v>
      </c>
      <c r="E807" s="3" t="s">
        <v>115</v>
      </c>
      <c r="F807" s="4">
        <v>1</v>
      </c>
      <c r="G807" s="5">
        <v>8</v>
      </c>
      <c r="H807" s="5">
        <f t="shared" si="12"/>
        <v>8</v>
      </c>
    </row>
    <row r="808" customFormat="1" spans="1:8">
      <c r="A808" s="2">
        <v>46174</v>
      </c>
      <c r="B808" s="3">
        <v>1608146</v>
      </c>
      <c r="C808" s="3" t="s">
        <v>151</v>
      </c>
      <c r="D808" s="4">
        <v>20333778</v>
      </c>
      <c r="E808" s="3" t="s">
        <v>116</v>
      </c>
      <c r="F808" s="4">
        <v>2</v>
      </c>
      <c r="G808" s="5">
        <v>16.5</v>
      </c>
      <c r="H808" s="5">
        <f t="shared" si="12"/>
        <v>33</v>
      </c>
    </row>
    <row r="809" customFormat="1" spans="1:8">
      <c r="A809" s="2">
        <v>46174</v>
      </c>
      <c r="B809" s="3">
        <v>1608146</v>
      </c>
      <c r="C809" s="3" t="s">
        <v>151</v>
      </c>
      <c r="D809" s="4">
        <v>20318259</v>
      </c>
      <c r="E809" s="3" t="s">
        <v>122</v>
      </c>
      <c r="F809" s="4">
        <v>1</v>
      </c>
      <c r="G809" s="5">
        <v>22</v>
      </c>
      <c r="H809" s="5">
        <f t="shared" si="12"/>
        <v>22</v>
      </c>
    </row>
    <row r="810" customFormat="1" spans="1:8">
      <c r="A810" s="2">
        <v>46174</v>
      </c>
      <c r="B810" s="3">
        <v>1608146</v>
      </c>
      <c r="C810" s="3" t="s">
        <v>151</v>
      </c>
      <c r="D810" s="4">
        <v>20329847</v>
      </c>
      <c r="E810" s="3" t="s">
        <v>129</v>
      </c>
      <c r="F810" s="4">
        <v>1</v>
      </c>
      <c r="G810" s="5">
        <v>13</v>
      </c>
      <c r="H810" s="5">
        <f t="shared" si="12"/>
        <v>13</v>
      </c>
    </row>
    <row r="811" customFormat="1" spans="1:8">
      <c r="A811" s="2">
        <v>46174</v>
      </c>
      <c r="B811" s="3">
        <v>1608146</v>
      </c>
      <c r="C811" s="3" t="s">
        <v>151</v>
      </c>
      <c r="D811" s="4">
        <v>20318231</v>
      </c>
      <c r="E811" s="3" t="s">
        <v>130</v>
      </c>
      <c r="F811" s="4">
        <v>2</v>
      </c>
      <c r="G811" s="5">
        <v>16.5</v>
      </c>
      <c r="H811" s="5">
        <f t="shared" si="12"/>
        <v>33</v>
      </c>
    </row>
    <row r="812" customFormat="1" spans="1:8">
      <c r="A812" s="2">
        <v>46174</v>
      </c>
      <c r="B812" s="3">
        <v>1608146</v>
      </c>
      <c r="C812" s="3" t="s">
        <v>151</v>
      </c>
      <c r="D812" s="4">
        <v>20331472</v>
      </c>
      <c r="E812" s="3" t="s">
        <v>141</v>
      </c>
      <c r="F812" s="4">
        <v>1</v>
      </c>
      <c r="G812" s="5">
        <v>8</v>
      </c>
      <c r="H812" s="5">
        <f t="shared" si="12"/>
        <v>8</v>
      </c>
    </row>
    <row r="813" customFormat="1" spans="1:8">
      <c r="A813" s="2">
        <v>46174</v>
      </c>
      <c r="B813" s="3">
        <v>1608146</v>
      </c>
      <c r="C813" s="3" t="s">
        <v>153</v>
      </c>
      <c r="D813" s="4">
        <v>20321257</v>
      </c>
      <c r="E813" s="3" t="s">
        <v>68</v>
      </c>
      <c r="F813" s="4">
        <v>2</v>
      </c>
      <c r="G813" s="5">
        <v>16.5</v>
      </c>
      <c r="H813" s="5">
        <f t="shared" si="12"/>
        <v>33</v>
      </c>
    </row>
    <row r="814" customFormat="1" spans="1:8">
      <c r="A814" s="2">
        <v>46174</v>
      </c>
      <c r="B814" s="3">
        <v>1608146</v>
      </c>
      <c r="C814" s="3" t="s">
        <v>153</v>
      </c>
      <c r="D814" s="4">
        <v>20318241</v>
      </c>
      <c r="E814" s="3" t="s">
        <v>83</v>
      </c>
      <c r="F814" s="4">
        <v>1</v>
      </c>
      <c r="G814" s="5">
        <v>16.5</v>
      </c>
      <c r="H814" s="5">
        <f t="shared" si="12"/>
        <v>16.5</v>
      </c>
    </row>
    <row r="815" customFormat="1" spans="1:8">
      <c r="A815" s="14">
        <v>46174</v>
      </c>
      <c r="B815" s="15">
        <v>1608146</v>
      </c>
      <c r="C815" s="15" t="s">
        <v>153</v>
      </c>
      <c r="D815" s="16">
        <v>20014824</v>
      </c>
      <c r="E815" s="15" t="s">
        <v>85</v>
      </c>
      <c r="F815" s="16">
        <v>3</v>
      </c>
      <c r="G815" s="17">
        <v>16.5</v>
      </c>
      <c r="H815" s="17">
        <f t="shared" si="12"/>
        <v>49.5</v>
      </c>
    </row>
    <row r="816" customFormat="1" spans="1:8">
      <c r="A816" s="2">
        <v>46174</v>
      </c>
      <c r="B816" s="3">
        <v>1608149</v>
      </c>
      <c r="C816" s="3" t="s">
        <v>150</v>
      </c>
      <c r="D816" s="4">
        <v>20328374</v>
      </c>
      <c r="E816" s="3" t="s">
        <v>72</v>
      </c>
      <c r="F816" s="4">
        <v>1</v>
      </c>
      <c r="G816" s="5">
        <v>264</v>
      </c>
      <c r="H816" s="5">
        <f t="shared" si="12"/>
        <v>264</v>
      </c>
    </row>
    <row r="817" customFormat="1" spans="1:8">
      <c r="A817" s="2">
        <v>46174</v>
      </c>
      <c r="B817" s="3">
        <v>1608149</v>
      </c>
      <c r="C817" s="3" t="s">
        <v>150</v>
      </c>
      <c r="D817" s="4">
        <v>20326613</v>
      </c>
      <c r="E817" s="3" t="s">
        <v>78</v>
      </c>
      <c r="F817" s="4">
        <v>2</v>
      </c>
      <c r="G817" s="5">
        <v>88</v>
      </c>
      <c r="H817" s="5">
        <f t="shared" si="12"/>
        <v>176</v>
      </c>
    </row>
    <row r="818" customFormat="1" spans="1:8">
      <c r="A818" s="2">
        <v>46174</v>
      </c>
      <c r="B818" s="3">
        <v>1608149</v>
      </c>
      <c r="C818" s="3" t="s">
        <v>150</v>
      </c>
      <c r="D818" s="4">
        <v>20340902</v>
      </c>
      <c r="E818" s="3" t="s">
        <v>79</v>
      </c>
      <c r="F818" s="4">
        <v>1</v>
      </c>
      <c r="G818" s="5">
        <v>104.5</v>
      </c>
      <c r="H818" s="5">
        <f t="shared" si="12"/>
        <v>104.5</v>
      </c>
    </row>
    <row r="819" customFormat="1" spans="1:8">
      <c r="A819" s="2">
        <v>46174</v>
      </c>
      <c r="B819" s="3">
        <v>1608149</v>
      </c>
      <c r="C819" s="3" t="s">
        <v>150</v>
      </c>
      <c r="D819" s="4">
        <v>20411130</v>
      </c>
      <c r="E819" s="3" t="s">
        <v>125</v>
      </c>
      <c r="F819" s="4">
        <v>1</v>
      </c>
      <c r="G819" s="5">
        <v>27.5</v>
      </c>
      <c r="H819" s="5">
        <f t="shared" si="12"/>
        <v>27.5</v>
      </c>
    </row>
    <row r="820" customFormat="1" spans="1:8">
      <c r="A820" s="2">
        <v>46174</v>
      </c>
      <c r="B820" s="3">
        <v>1608149</v>
      </c>
      <c r="C820" s="3" t="s">
        <v>150</v>
      </c>
      <c r="D820" s="4">
        <v>20411133</v>
      </c>
      <c r="E820" s="3" t="s">
        <v>126</v>
      </c>
      <c r="F820" s="4">
        <v>1</v>
      </c>
      <c r="G820" s="5">
        <v>16.5</v>
      </c>
      <c r="H820" s="5">
        <f t="shared" si="12"/>
        <v>16.5</v>
      </c>
    </row>
    <row r="821" customFormat="1" spans="1:8">
      <c r="A821" s="2">
        <v>46174</v>
      </c>
      <c r="B821" s="3">
        <v>1608149</v>
      </c>
      <c r="C821" s="3" t="s">
        <v>154</v>
      </c>
      <c r="D821" s="4">
        <v>20328192</v>
      </c>
      <c r="E821" s="3" t="s">
        <v>75</v>
      </c>
      <c r="F821" s="4">
        <v>1</v>
      </c>
      <c r="G821" s="5">
        <v>38.5</v>
      </c>
      <c r="H821" s="5">
        <f t="shared" si="12"/>
        <v>38.5</v>
      </c>
    </row>
    <row r="822" customFormat="1" ht="25.5" spans="1:8">
      <c r="A822" s="2">
        <v>46174</v>
      </c>
      <c r="B822" s="3">
        <v>1608149</v>
      </c>
      <c r="C822" s="3" t="s">
        <v>154</v>
      </c>
      <c r="D822" s="4">
        <v>20411029</v>
      </c>
      <c r="E822" s="3" t="s">
        <v>97</v>
      </c>
      <c r="F822" s="4">
        <v>1</v>
      </c>
      <c r="G822" s="5">
        <f>16.5</f>
        <v>16.5</v>
      </c>
      <c r="H822" s="5">
        <f t="shared" si="12"/>
        <v>16.5</v>
      </c>
    </row>
    <row r="823" customFormat="1" spans="1:8">
      <c r="A823" s="2">
        <v>46174</v>
      </c>
      <c r="B823" s="3">
        <v>1608149</v>
      </c>
      <c r="C823" s="3" t="s">
        <v>151</v>
      </c>
      <c r="D823" s="4">
        <v>20318247</v>
      </c>
      <c r="E823" s="3" t="s">
        <v>69</v>
      </c>
      <c r="F823" s="4">
        <v>1</v>
      </c>
      <c r="G823" s="5">
        <v>8</v>
      </c>
      <c r="H823" s="5">
        <f t="shared" si="12"/>
        <v>8</v>
      </c>
    </row>
    <row r="824" customFormat="1" spans="1:8">
      <c r="A824" s="2">
        <v>46174</v>
      </c>
      <c r="B824" s="3">
        <v>1608149</v>
      </c>
      <c r="C824" s="3" t="s">
        <v>151</v>
      </c>
      <c r="D824" s="4">
        <v>20330564</v>
      </c>
      <c r="E824" s="3" t="s">
        <v>71</v>
      </c>
      <c r="F824" s="4">
        <v>1</v>
      </c>
      <c r="G824" s="5">
        <v>16.5</v>
      </c>
      <c r="H824" s="5">
        <f t="shared" si="12"/>
        <v>16.5</v>
      </c>
    </row>
    <row r="825" customFormat="1" spans="1:8">
      <c r="A825" s="2">
        <v>46174</v>
      </c>
      <c r="B825" s="3">
        <v>1608149</v>
      </c>
      <c r="C825" s="3" t="s">
        <v>151</v>
      </c>
      <c r="D825" s="4">
        <v>20329847</v>
      </c>
      <c r="E825" s="3" t="s">
        <v>129</v>
      </c>
      <c r="F825" s="4">
        <v>1</v>
      </c>
      <c r="G825" s="5">
        <v>13</v>
      </c>
      <c r="H825" s="5">
        <f t="shared" si="12"/>
        <v>13</v>
      </c>
    </row>
    <row r="826" customFormat="1" spans="1:8">
      <c r="A826" s="2">
        <v>46174</v>
      </c>
      <c r="B826" s="3">
        <v>1608149</v>
      </c>
      <c r="C826" s="3" t="s">
        <v>151</v>
      </c>
      <c r="D826" s="4">
        <v>20318231</v>
      </c>
      <c r="E826" s="3" t="s">
        <v>130</v>
      </c>
      <c r="F826" s="4">
        <v>1</v>
      </c>
      <c r="G826" s="5">
        <v>16.5</v>
      </c>
      <c r="H826" s="5">
        <f t="shared" si="12"/>
        <v>16.5</v>
      </c>
    </row>
    <row r="827" customFormat="1" spans="1:8">
      <c r="A827" s="2">
        <v>46174</v>
      </c>
      <c r="B827" s="3">
        <v>1608149</v>
      </c>
      <c r="C827" s="3" t="s">
        <v>151</v>
      </c>
      <c r="D827" s="4">
        <v>20318239</v>
      </c>
      <c r="E827" s="3" t="s">
        <v>132</v>
      </c>
      <c r="F827" s="4">
        <v>1</v>
      </c>
      <c r="G827" s="5">
        <v>16.5</v>
      </c>
      <c r="H827" s="5">
        <f t="shared" si="12"/>
        <v>16.5</v>
      </c>
    </row>
    <row r="828" customFormat="1" spans="1:8">
      <c r="A828" s="2">
        <v>46174</v>
      </c>
      <c r="B828" s="3">
        <v>1608149</v>
      </c>
      <c r="C828" s="3" t="s">
        <v>153</v>
      </c>
      <c r="D828" s="4">
        <v>20321257</v>
      </c>
      <c r="E828" s="3" t="s">
        <v>68</v>
      </c>
      <c r="F828" s="4">
        <v>2</v>
      </c>
      <c r="G828" s="5">
        <v>16.5</v>
      </c>
      <c r="H828" s="5">
        <f t="shared" si="12"/>
        <v>33</v>
      </c>
    </row>
    <row r="829" customFormat="1" spans="1:8">
      <c r="A829" s="2">
        <v>46174</v>
      </c>
      <c r="B829" s="3">
        <v>1608149</v>
      </c>
      <c r="C829" s="3" t="s">
        <v>153</v>
      </c>
      <c r="D829" s="4">
        <v>20318262</v>
      </c>
      <c r="E829" s="3" t="s">
        <v>77</v>
      </c>
      <c r="F829" s="4">
        <v>1</v>
      </c>
      <c r="G829" s="5">
        <v>16.5</v>
      </c>
      <c r="H829" s="5">
        <f t="shared" si="12"/>
        <v>16.5</v>
      </c>
    </row>
    <row r="830" customFormat="1" spans="1:8">
      <c r="A830" s="14">
        <v>46174</v>
      </c>
      <c r="B830" s="15">
        <v>1608149</v>
      </c>
      <c r="C830" s="15" t="s">
        <v>153</v>
      </c>
      <c r="D830" s="16">
        <v>20014827</v>
      </c>
      <c r="E830" s="15" t="s">
        <v>84</v>
      </c>
      <c r="F830" s="16">
        <v>1</v>
      </c>
      <c r="G830" s="17">
        <v>16.5</v>
      </c>
      <c r="H830" s="17">
        <f t="shared" si="12"/>
        <v>16.5</v>
      </c>
    </row>
    <row r="831" customFormat="1" spans="1:8">
      <c r="A831" s="2">
        <v>46174</v>
      </c>
      <c r="B831" s="3">
        <v>1608149</v>
      </c>
      <c r="C831" s="3" t="s">
        <v>153</v>
      </c>
      <c r="D831" s="4">
        <v>20321468</v>
      </c>
      <c r="E831" s="3" t="s">
        <v>89</v>
      </c>
      <c r="F831" s="4">
        <v>1</v>
      </c>
      <c r="G831" s="5">
        <v>16.5</v>
      </c>
      <c r="H831" s="5">
        <f t="shared" si="12"/>
        <v>16.5</v>
      </c>
    </row>
    <row r="832" customFormat="1" spans="1:8">
      <c r="A832" s="2">
        <v>46175</v>
      </c>
      <c r="B832" s="3">
        <v>1608432</v>
      </c>
      <c r="C832" s="3" t="s">
        <v>150</v>
      </c>
      <c r="D832" s="4">
        <v>20326613</v>
      </c>
      <c r="E832" s="3" t="s">
        <v>78</v>
      </c>
      <c r="F832" s="4">
        <v>6</v>
      </c>
      <c r="G832" s="5">
        <v>88</v>
      </c>
      <c r="H832" s="5">
        <f t="shared" si="12"/>
        <v>528</v>
      </c>
    </row>
    <row r="833" customFormat="1" spans="1:8">
      <c r="A833" s="2">
        <v>46175</v>
      </c>
      <c r="B833" s="3">
        <v>1608432</v>
      </c>
      <c r="C833" s="3" t="s">
        <v>154</v>
      </c>
      <c r="D833" s="4">
        <v>20328192</v>
      </c>
      <c r="E833" s="3" t="s">
        <v>75</v>
      </c>
      <c r="F833" s="4">
        <v>1</v>
      </c>
      <c r="G833" s="5">
        <v>38.5</v>
      </c>
      <c r="H833" s="5">
        <f t="shared" si="12"/>
        <v>38.5</v>
      </c>
    </row>
    <row r="834" customFormat="1" spans="1:8">
      <c r="A834" s="2">
        <v>46175</v>
      </c>
      <c r="B834" s="3">
        <v>1608432</v>
      </c>
      <c r="C834" s="3" t="s">
        <v>151</v>
      </c>
      <c r="D834" s="4">
        <v>20421967</v>
      </c>
      <c r="E834" s="3" t="s">
        <v>66</v>
      </c>
      <c r="F834" s="4">
        <v>1</v>
      </c>
      <c r="G834" s="5">
        <v>8</v>
      </c>
      <c r="H834" s="5">
        <f t="shared" ref="H834:H897" si="13">G834*F834</f>
        <v>8</v>
      </c>
    </row>
    <row r="835" customFormat="1" spans="1:8">
      <c r="A835" s="2">
        <v>46175</v>
      </c>
      <c r="B835" s="3">
        <v>1608432</v>
      </c>
      <c r="C835" s="3" t="s">
        <v>151</v>
      </c>
      <c r="D835" s="4">
        <v>20329846</v>
      </c>
      <c r="E835" s="3" t="s">
        <v>90</v>
      </c>
      <c r="F835" s="4">
        <v>1</v>
      </c>
      <c r="G835" s="5">
        <v>13.5</v>
      </c>
      <c r="H835" s="5">
        <f t="shared" si="13"/>
        <v>13.5</v>
      </c>
    </row>
    <row r="836" customFormat="1" spans="1:8">
      <c r="A836" s="2">
        <v>46175</v>
      </c>
      <c r="B836" s="3">
        <v>1608432</v>
      </c>
      <c r="C836" s="3" t="s">
        <v>151</v>
      </c>
      <c r="D836" s="4">
        <v>20329847</v>
      </c>
      <c r="E836" s="3" t="s">
        <v>129</v>
      </c>
      <c r="F836" s="4">
        <v>3</v>
      </c>
      <c r="G836" s="5">
        <v>13</v>
      </c>
      <c r="H836" s="5">
        <f t="shared" si="13"/>
        <v>39</v>
      </c>
    </row>
    <row r="837" customFormat="1" spans="1:8">
      <c r="A837" s="2">
        <v>46175</v>
      </c>
      <c r="B837" s="3">
        <v>1608432</v>
      </c>
      <c r="C837" s="3" t="s">
        <v>151</v>
      </c>
      <c r="D837" s="4">
        <v>20318231</v>
      </c>
      <c r="E837" s="3" t="s">
        <v>130</v>
      </c>
      <c r="F837" s="4">
        <v>1</v>
      </c>
      <c r="G837" s="5">
        <v>16.5</v>
      </c>
      <c r="H837" s="5">
        <f t="shared" si="13"/>
        <v>16.5</v>
      </c>
    </row>
    <row r="838" customFormat="1" spans="1:8">
      <c r="A838" s="2">
        <v>46175</v>
      </c>
      <c r="B838" s="3">
        <v>1608432</v>
      </c>
      <c r="C838" s="3" t="s">
        <v>151</v>
      </c>
      <c r="D838" s="4">
        <v>20333142</v>
      </c>
      <c r="E838" s="3" t="s">
        <v>138</v>
      </c>
      <c r="F838" s="4">
        <v>3</v>
      </c>
      <c r="G838" s="5">
        <v>22</v>
      </c>
      <c r="H838" s="5">
        <f t="shared" si="13"/>
        <v>66</v>
      </c>
    </row>
    <row r="839" customFormat="1" spans="1:8">
      <c r="A839" s="2">
        <v>46175</v>
      </c>
      <c r="B839" s="3">
        <v>1608432</v>
      </c>
      <c r="C839" s="3" t="s">
        <v>152</v>
      </c>
      <c r="D839" s="4">
        <v>20394933</v>
      </c>
      <c r="E839" s="3" t="s">
        <v>105</v>
      </c>
      <c r="F839" s="4">
        <v>1</v>
      </c>
      <c r="G839" s="5">
        <v>66</v>
      </c>
      <c r="H839" s="5">
        <f t="shared" si="13"/>
        <v>66</v>
      </c>
    </row>
    <row r="840" customFormat="1" spans="1:8">
      <c r="A840" s="2">
        <v>46175</v>
      </c>
      <c r="B840" s="3">
        <v>1608432</v>
      </c>
      <c r="C840" s="3" t="s">
        <v>152</v>
      </c>
      <c r="D840" s="4">
        <v>20351811</v>
      </c>
      <c r="E840" s="3" t="s">
        <v>110</v>
      </c>
      <c r="F840" s="4">
        <v>4</v>
      </c>
      <c r="G840" s="5">
        <v>55</v>
      </c>
      <c r="H840" s="5">
        <f t="shared" si="13"/>
        <v>220</v>
      </c>
    </row>
    <row r="841" customFormat="1" spans="1:8">
      <c r="A841" s="2">
        <v>46175</v>
      </c>
      <c r="B841" s="3">
        <v>1608432</v>
      </c>
      <c r="C841" s="3" t="s">
        <v>153</v>
      </c>
      <c r="D841" s="4">
        <v>20321257</v>
      </c>
      <c r="E841" s="3" t="s">
        <v>68</v>
      </c>
      <c r="F841" s="4">
        <v>7</v>
      </c>
      <c r="G841" s="5">
        <v>16.5</v>
      </c>
      <c r="H841" s="5">
        <f t="shared" si="13"/>
        <v>115.5</v>
      </c>
    </row>
    <row r="842" customFormat="1" spans="1:8">
      <c r="A842" s="14">
        <v>46175</v>
      </c>
      <c r="B842" s="15">
        <v>1608432</v>
      </c>
      <c r="C842" s="15" t="s">
        <v>153</v>
      </c>
      <c r="D842" s="16">
        <v>20014827</v>
      </c>
      <c r="E842" s="15" t="s">
        <v>84</v>
      </c>
      <c r="F842" s="16">
        <v>1</v>
      </c>
      <c r="G842" s="17">
        <v>16.5</v>
      </c>
      <c r="H842" s="17">
        <f t="shared" si="13"/>
        <v>16.5</v>
      </c>
    </row>
    <row r="843" customFormat="1" spans="1:8">
      <c r="A843" s="2">
        <v>46175</v>
      </c>
      <c r="B843" s="3">
        <v>1608518</v>
      </c>
      <c r="C843" s="3" t="s">
        <v>154</v>
      </c>
      <c r="D843" s="4">
        <v>20328192</v>
      </c>
      <c r="E843" s="3" t="s">
        <v>75</v>
      </c>
      <c r="F843" s="4">
        <v>1</v>
      </c>
      <c r="G843" s="5">
        <v>38.5</v>
      </c>
      <c r="H843" s="5">
        <f t="shared" si="13"/>
        <v>38.5</v>
      </c>
    </row>
    <row r="844" customFormat="1" spans="1:8">
      <c r="A844" s="2">
        <v>46175</v>
      </c>
      <c r="B844" s="3">
        <v>1608518</v>
      </c>
      <c r="C844" s="3" t="s">
        <v>155</v>
      </c>
      <c r="D844" s="4">
        <v>20322228</v>
      </c>
      <c r="E844" s="3" t="s">
        <v>74</v>
      </c>
      <c r="F844" s="4">
        <v>1</v>
      </c>
      <c r="G844" s="5">
        <v>15</v>
      </c>
      <c r="H844" s="5">
        <f t="shared" si="13"/>
        <v>15</v>
      </c>
    </row>
    <row r="845" customFormat="1" spans="1:8">
      <c r="A845" s="2">
        <v>46175</v>
      </c>
      <c r="B845" s="3">
        <v>1608542</v>
      </c>
      <c r="C845" s="3" t="s">
        <v>150</v>
      </c>
      <c r="D845" s="4">
        <v>20328374</v>
      </c>
      <c r="E845" s="3" t="s">
        <v>72</v>
      </c>
      <c r="F845" s="4">
        <v>1</v>
      </c>
      <c r="G845" s="5">
        <v>264</v>
      </c>
      <c r="H845" s="5">
        <f t="shared" si="13"/>
        <v>264</v>
      </c>
    </row>
    <row r="846" customFormat="1" spans="1:8">
      <c r="A846" s="2">
        <v>46175</v>
      </c>
      <c r="B846" s="3">
        <v>1608542</v>
      </c>
      <c r="C846" s="3" t="s">
        <v>150</v>
      </c>
      <c r="D846" s="4">
        <v>20326613</v>
      </c>
      <c r="E846" s="3" t="s">
        <v>78</v>
      </c>
      <c r="F846" s="4">
        <v>9</v>
      </c>
      <c r="G846" s="5">
        <v>88</v>
      </c>
      <c r="H846" s="5">
        <f t="shared" si="13"/>
        <v>792</v>
      </c>
    </row>
    <row r="847" customFormat="1" spans="1:8">
      <c r="A847" s="2">
        <v>46175</v>
      </c>
      <c r="B847" s="3">
        <v>1608542</v>
      </c>
      <c r="C847" s="3" t="s">
        <v>150</v>
      </c>
      <c r="D847" s="4">
        <v>20411130</v>
      </c>
      <c r="E847" s="3" t="s">
        <v>125</v>
      </c>
      <c r="F847" s="4">
        <v>1</v>
      </c>
      <c r="G847" s="5">
        <v>27.5</v>
      </c>
      <c r="H847" s="5">
        <f t="shared" si="13"/>
        <v>27.5</v>
      </c>
    </row>
    <row r="848" customFormat="1" spans="1:8">
      <c r="A848" s="2">
        <v>46175</v>
      </c>
      <c r="B848" s="3">
        <v>1608542</v>
      </c>
      <c r="C848" s="3" t="s">
        <v>150</v>
      </c>
      <c r="D848" s="4">
        <v>20411133</v>
      </c>
      <c r="E848" s="3" t="s">
        <v>126</v>
      </c>
      <c r="F848" s="4">
        <v>1</v>
      </c>
      <c r="G848" s="5">
        <v>16.5</v>
      </c>
      <c r="H848" s="5">
        <f t="shared" si="13"/>
        <v>16.5</v>
      </c>
    </row>
    <row r="849" customFormat="1" spans="1:8">
      <c r="A849" s="2">
        <v>46175</v>
      </c>
      <c r="B849" s="3">
        <v>1608542</v>
      </c>
      <c r="C849" s="3" t="s">
        <v>154</v>
      </c>
      <c r="D849" s="4">
        <v>20411028</v>
      </c>
      <c r="E849" s="3" t="s">
        <v>96</v>
      </c>
      <c r="F849" s="4">
        <v>1</v>
      </c>
      <c r="G849" s="5">
        <v>16.5</v>
      </c>
      <c r="H849" s="5">
        <f t="shared" si="13"/>
        <v>16.5</v>
      </c>
    </row>
    <row r="850" customFormat="1" spans="1:8">
      <c r="A850" s="2">
        <v>46175</v>
      </c>
      <c r="B850" s="3">
        <v>1608542</v>
      </c>
      <c r="C850" s="3" t="s">
        <v>154</v>
      </c>
      <c r="D850" s="4">
        <v>20411029</v>
      </c>
      <c r="E850" s="3" t="s">
        <v>98</v>
      </c>
      <c r="F850" s="4">
        <v>1</v>
      </c>
      <c r="G850" s="5">
        <v>33</v>
      </c>
      <c r="H850" s="5">
        <f t="shared" si="13"/>
        <v>33</v>
      </c>
    </row>
    <row r="851" customFormat="1" spans="1:8">
      <c r="A851" s="2">
        <v>46175</v>
      </c>
      <c r="B851" s="3">
        <v>1608542</v>
      </c>
      <c r="C851" s="3" t="s">
        <v>151</v>
      </c>
      <c r="D851" s="4">
        <v>20318235</v>
      </c>
      <c r="E851" s="3" t="s">
        <v>88</v>
      </c>
      <c r="F851" s="4">
        <v>2</v>
      </c>
      <c r="G851" s="5">
        <v>8</v>
      </c>
      <c r="H851" s="5">
        <f t="shared" si="13"/>
        <v>16</v>
      </c>
    </row>
    <row r="852" customFormat="1" spans="1:8">
      <c r="A852" s="2">
        <v>46175</v>
      </c>
      <c r="B852" s="3">
        <v>1608542</v>
      </c>
      <c r="C852" s="3" t="s">
        <v>151</v>
      </c>
      <c r="D852" s="4">
        <v>20329846</v>
      </c>
      <c r="E852" s="3" t="s">
        <v>90</v>
      </c>
      <c r="F852" s="4">
        <v>3</v>
      </c>
      <c r="G852" s="5">
        <v>13.5</v>
      </c>
      <c r="H852" s="5">
        <f t="shared" si="13"/>
        <v>40.5</v>
      </c>
    </row>
    <row r="853" customFormat="1" spans="1:8">
      <c r="A853" s="2">
        <v>46175</v>
      </c>
      <c r="B853" s="3">
        <v>1608542</v>
      </c>
      <c r="C853" s="3" t="s">
        <v>151</v>
      </c>
      <c r="D853" s="4">
        <v>20318250</v>
      </c>
      <c r="E853" s="3" t="s">
        <v>113</v>
      </c>
      <c r="F853" s="4">
        <v>1</v>
      </c>
      <c r="G853" s="5">
        <v>8</v>
      </c>
      <c r="H853" s="5">
        <f t="shared" si="13"/>
        <v>8</v>
      </c>
    </row>
    <row r="854" customFormat="1" spans="1:8">
      <c r="A854" s="2">
        <v>46175</v>
      </c>
      <c r="B854" s="3">
        <v>1608542</v>
      </c>
      <c r="C854" s="3" t="s">
        <v>151</v>
      </c>
      <c r="D854" s="4">
        <v>20331668</v>
      </c>
      <c r="E854" s="3" t="s">
        <v>115</v>
      </c>
      <c r="F854" s="4">
        <v>2</v>
      </c>
      <c r="G854" s="5">
        <v>8</v>
      </c>
      <c r="H854" s="5">
        <f t="shared" si="13"/>
        <v>16</v>
      </c>
    </row>
    <row r="855" customFormat="1" spans="1:8">
      <c r="A855" s="2">
        <v>46175</v>
      </c>
      <c r="B855" s="3">
        <v>1608542</v>
      </c>
      <c r="C855" s="3" t="s">
        <v>151</v>
      </c>
      <c r="D855" s="4">
        <v>20333778</v>
      </c>
      <c r="E855" s="3" t="s">
        <v>116</v>
      </c>
      <c r="F855" s="4">
        <v>1</v>
      </c>
      <c r="G855" s="5">
        <v>16.5</v>
      </c>
      <c r="H855" s="5">
        <f t="shared" si="13"/>
        <v>16.5</v>
      </c>
    </row>
    <row r="856" customFormat="1" spans="1:8">
      <c r="A856" s="2">
        <v>46175</v>
      </c>
      <c r="B856" s="3">
        <v>1608542</v>
      </c>
      <c r="C856" s="3" t="s">
        <v>151</v>
      </c>
      <c r="D856" s="4">
        <v>20329847</v>
      </c>
      <c r="E856" s="3" t="s">
        <v>129</v>
      </c>
      <c r="F856" s="4">
        <v>2</v>
      </c>
      <c r="G856" s="5">
        <v>13</v>
      </c>
      <c r="H856" s="5">
        <f t="shared" si="13"/>
        <v>26</v>
      </c>
    </row>
    <row r="857" customFormat="1" spans="1:8">
      <c r="A857" s="2">
        <v>46175</v>
      </c>
      <c r="B857" s="3">
        <v>1608542</v>
      </c>
      <c r="C857" s="3" t="s">
        <v>151</v>
      </c>
      <c r="D857" s="4">
        <v>20318231</v>
      </c>
      <c r="E857" s="3" t="s">
        <v>130</v>
      </c>
      <c r="F857" s="4">
        <v>2</v>
      </c>
      <c r="G857" s="5">
        <v>16.5</v>
      </c>
      <c r="H857" s="5">
        <f t="shared" si="13"/>
        <v>33</v>
      </c>
    </row>
    <row r="858" customFormat="1" spans="1:8">
      <c r="A858" s="2">
        <v>46175</v>
      </c>
      <c r="B858" s="3">
        <v>1608542</v>
      </c>
      <c r="C858" s="3" t="s">
        <v>153</v>
      </c>
      <c r="D858" s="4">
        <v>20321257</v>
      </c>
      <c r="E858" s="3" t="s">
        <v>68</v>
      </c>
      <c r="F858" s="4">
        <v>2</v>
      </c>
      <c r="G858" s="5">
        <v>16.5</v>
      </c>
      <c r="H858" s="5">
        <f t="shared" si="13"/>
        <v>33</v>
      </c>
    </row>
    <row r="859" customFormat="1" spans="1:8">
      <c r="A859" s="2">
        <v>46175</v>
      </c>
      <c r="B859" s="3">
        <v>1608542</v>
      </c>
      <c r="C859" s="3" t="s">
        <v>153</v>
      </c>
      <c r="D859" s="4">
        <v>20318262</v>
      </c>
      <c r="E859" s="3" t="s">
        <v>77</v>
      </c>
      <c r="F859" s="4">
        <v>5</v>
      </c>
      <c r="G859" s="5">
        <v>16.5</v>
      </c>
      <c r="H859" s="5">
        <f t="shared" si="13"/>
        <v>82.5</v>
      </c>
    </row>
    <row r="860" customFormat="1" spans="1:8">
      <c r="A860" s="2">
        <v>46175</v>
      </c>
      <c r="B860" s="3">
        <v>1608542</v>
      </c>
      <c r="C860" s="3" t="s">
        <v>153</v>
      </c>
      <c r="D860" s="4">
        <v>20318241</v>
      </c>
      <c r="E860" s="3" t="s">
        <v>83</v>
      </c>
      <c r="F860" s="4">
        <v>1</v>
      </c>
      <c r="G860" s="5">
        <v>16.5</v>
      </c>
      <c r="H860" s="5">
        <f t="shared" si="13"/>
        <v>16.5</v>
      </c>
    </row>
    <row r="861" customFormat="1" spans="1:8">
      <c r="A861" s="14">
        <v>46175</v>
      </c>
      <c r="B861" s="15">
        <v>1608542</v>
      </c>
      <c r="C861" s="15" t="s">
        <v>153</v>
      </c>
      <c r="D861" s="16">
        <v>20014827</v>
      </c>
      <c r="E861" s="15" t="s">
        <v>84</v>
      </c>
      <c r="F861" s="16">
        <v>1</v>
      </c>
      <c r="G861" s="17">
        <v>16.5</v>
      </c>
      <c r="H861" s="17">
        <f t="shared" si="13"/>
        <v>16.5</v>
      </c>
    </row>
    <row r="862" customFormat="1" spans="1:8">
      <c r="A862" s="14">
        <v>46175</v>
      </c>
      <c r="B862" s="15">
        <v>1608542</v>
      </c>
      <c r="C862" s="15" t="s">
        <v>153</v>
      </c>
      <c r="D862" s="16">
        <v>20014824</v>
      </c>
      <c r="E862" s="15" t="s">
        <v>85</v>
      </c>
      <c r="F862" s="16">
        <v>1</v>
      </c>
      <c r="G862" s="17">
        <v>16.5</v>
      </c>
      <c r="H862" s="17">
        <f t="shared" si="13"/>
        <v>16.5</v>
      </c>
    </row>
    <row r="863" customFormat="1" spans="1:8">
      <c r="A863" s="2">
        <v>46175</v>
      </c>
      <c r="B863" s="3">
        <v>1608542</v>
      </c>
      <c r="C863" s="3" t="s">
        <v>153</v>
      </c>
      <c r="D863" s="4">
        <v>20321468</v>
      </c>
      <c r="E863" s="3" t="s">
        <v>89</v>
      </c>
      <c r="F863" s="4">
        <v>2</v>
      </c>
      <c r="G863" s="5">
        <v>16.5</v>
      </c>
      <c r="H863" s="5">
        <f t="shared" si="13"/>
        <v>33</v>
      </c>
    </row>
    <row r="864" customFormat="1" spans="1:8">
      <c r="A864" s="2">
        <v>46175</v>
      </c>
      <c r="B864" s="3">
        <v>1608542</v>
      </c>
      <c r="C864" s="3" t="s">
        <v>153</v>
      </c>
      <c r="D864" s="4">
        <v>20318197</v>
      </c>
      <c r="E864" s="3" t="s">
        <v>119</v>
      </c>
      <c r="F864" s="4">
        <v>1</v>
      </c>
      <c r="G864" s="5">
        <v>16.5</v>
      </c>
      <c r="H864" s="5">
        <f t="shared" si="13"/>
        <v>16.5</v>
      </c>
    </row>
    <row r="865" customFormat="1" spans="1:8">
      <c r="A865" s="2">
        <v>46175</v>
      </c>
      <c r="B865" s="3">
        <v>1608581</v>
      </c>
      <c r="C865" s="3" t="s">
        <v>150</v>
      </c>
      <c r="D865" s="4">
        <v>20326613</v>
      </c>
      <c r="E865" s="3" t="s">
        <v>78</v>
      </c>
      <c r="F865" s="4">
        <v>3</v>
      </c>
      <c r="G865" s="5">
        <v>88</v>
      </c>
      <c r="H865" s="5">
        <f t="shared" si="13"/>
        <v>264</v>
      </c>
    </row>
    <row r="866" customFormat="1" spans="1:8">
      <c r="A866" s="2">
        <v>46175</v>
      </c>
      <c r="B866" s="3">
        <v>1608581</v>
      </c>
      <c r="C866" s="3" t="s">
        <v>154</v>
      </c>
      <c r="D866" s="4">
        <v>20328192</v>
      </c>
      <c r="E866" s="3" t="s">
        <v>75</v>
      </c>
      <c r="F866" s="4">
        <v>1</v>
      </c>
      <c r="G866" s="5">
        <v>38.5</v>
      </c>
      <c r="H866" s="5">
        <f t="shared" si="13"/>
        <v>38.5</v>
      </c>
    </row>
    <row r="867" customFormat="1" spans="1:8">
      <c r="A867" s="2">
        <v>46175</v>
      </c>
      <c r="B867" s="3">
        <v>1608581</v>
      </c>
      <c r="C867" s="3" t="s">
        <v>151</v>
      </c>
      <c r="D867" s="4">
        <v>20318235</v>
      </c>
      <c r="E867" s="3" t="s">
        <v>88</v>
      </c>
      <c r="F867" s="4">
        <v>1</v>
      </c>
      <c r="G867" s="5">
        <v>8</v>
      </c>
      <c r="H867" s="5">
        <f t="shared" si="13"/>
        <v>8</v>
      </c>
    </row>
    <row r="868" customFormat="1" spans="1:8">
      <c r="A868" s="2">
        <v>46175</v>
      </c>
      <c r="B868" s="3">
        <v>1608581</v>
      </c>
      <c r="C868" s="3" t="s">
        <v>151</v>
      </c>
      <c r="D868" s="4">
        <v>20329846</v>
      </c>
      <c r="E868" s="3" t="s">
        <v>90</v>
      </c>
      <c r="F868" s="4">
        <v>1</v>
      </c>
      <c r="G868" s="5">
        <v>13.5</v>
      </c>
      <c r="H868" s="5">
        <f t="shared" si="13"/>
        <v>13.5</v>
      </c>
    </row>
    <row r="869" customFormat="1" spans="1:8">
      <c r="A869" s="2">
        <v>46175</v>
      </c>
      <c r="B869" s="3">
        <v>1608581</v>
      </c>
      <c r="C869" s="3" t="s">
        <v>153</v>
      </c>
      <c r="D869" s="4">
        <v>20321257</v>
      </c>
      <c r="E869" s="3" t="s">
        <v>68</v>
      </c>
      <c r="F869" s="4">
        <v>2</v>
      </c>
      <c r="G869" s="5">
        <v>16.5</v>
      </c>
      <c r="H869" s="5">
        <f t="shared" si="13"/>
        <v>33</v>
      </c>
    </row>
    <row r="870" customFormat="1" spans="1:8">
      <c r="A870" s="14">
        <v>46175</v>
      </c>
      <c r="B870" s="15">
        <v>1608581</v>
      </c>
      <c r="C870" s="15" t="s">
        <v>153</v>
      </c>
      <c r="D870" s="16">
        <v>20318229</v>
      </c>
      <c r="E870" s="15" t="s">
        <v>76</v>
      </c>
      <c r="F870" s="16">
        <v>2</v>
      </c>
      <c r="G870" s="17">
        <v>16.5</v>
      </c>
      <c r="H870" s="17">
        <f t="shared" si="13"/>
        <v>33</v>
      </c>
    </row>
    <row r="871" customFormat="1" spans="1:8">
      <c r="A871" s="2">
        <v>46175</v>
      </c>
      <c r="B871" s="3">
        <v>1608581</v>
      </c>
      <c r="C871" s="3" t="s">
        <v>153</v>
      </c>
      <c r="D871" s="4">
        <v>20318262</v>
      </c>
      <c r="E871" s="3" t="s">
        <v>77</v>
      </c>
      <c r="F871" s="4">
        <v>1</v>
      </c>
      <c r="G871" s="5">
        <v>16.5</v>
      </c>
      <c r="H871" s="5">
        <f t="shared" si="13"/>
        <v>16.5</v>
      </c>
    </row>
    <row r="872" customFormat="1" spans="1:8">
      <c r="A872" s="14">
        <v>46175</v>
      </c>
      <c r="B872" s="15">
        <v>1608581</v>
      </c>
      <c r="C872" s="15" t="s">
        <v>153</v>
      </c>
      <c r="D872" s="16">
        <v>20014827</v>
      </c>
      <c r="E872" s="15" t="s">
        <v>84</v>
      </c>
      <c r="F872" s="16">
        <v>1</v>
      </c>
      <c r="G872" s="17">
        <v>16.5</v>
      </c>
      <c r="H872" s="17">
        <f t="shared" si="13"/>
        <v>16.5</v>
      </c>
    </row>
    <row r="873" customFormat="1" spans="1:8">
      <c r="A873" s="2">
        <v>46176</v>
      </c>
      <c r="B873" s="3">
        <v>1608795</v>
      </c>
      <c r="C873" s="3" t="s">
        <v>154</v>
      </c>
      <c r="D873" s="4">
        <v>20328192</v>
      </c>
      <c r="E873" s="3" t="s">
        <v>75</v>
      </c>
      <c r="F873" s="4">
        <v>1</v>
      </c>
      <c r="G873" s="5">
        <v>38.5</v>
      </c>
      <c r="H873" s="5">
        <f t="shared" si="13"/>
        <v>38.5</v>
      </c>
    </row>
    <row r="874" customFormat="1" spans="1:8">
      <c r="A874" s="2">
        <v>46176</v>
      </c>
      <c r="B874" s="3">
        <v>1608854</v>
      </c>
      <c r="C874" s="3" t="s">
        <v>150</v>
      </c>
      <c r="D874" s="4">
        <v>20326613</v>
      </c>
      <c r="E874" s="3" t="s">
        <v>78</v>
      </c>
      <c r="F874" s="4">
        <v>15</v>
      </c>
      <c r="G874" s="5">
        <v>88</v>
      </c>
      <c r="H874" s="5">
        <f t="shared" si="13"/>
        <v>1320</v>
      </c>
    </row>
    <row r="875" customFormat="1" spans="1:8">
      <c r="A875" s="2">
        <v>46176</v>
      </c>
      <c r="B875" s="3">
        <v>1608854</v>
      </c>
      <c r="C875" s="3" t="s">
        <v>150</v>
      </c>
      <c r="D875" s="4">
        <v>20318156</v>
      </c>
      <c r="E875" s="3" t="s">
        <v>112</v>
      </c>
      <c r="F875" s="4">
        <v>1</v>
      </c>
      <c r="G875" s="5">
        <v>154</v>
      </c>
      <c r="H875" s="5">
        <f t="shared" si="13"/>
        <v>154</v>
      </c>
    </row>
    <row r="876" customFormat="1" spans="1:8">
      <c r="A876" s="2">
        <v>46176</v>
      </c>
      <c r="B876" s="3">
        <v>1608854</v>
      </c>
      <c r="C876" s="3" t="s">
        <v>151</v>
      </c>
      <c r="D876" s="4">
        <v>20330564</v>
      </c>
      <c r="E876" s="3" t="s">
        <v>71</v>
      </c>
      <c r="F876" s="4">
        <v>1</v>
      </c>
      <c r="G876" s="5">
        <v>16.5</v>
      </c>
      <c r="H876" s="5">
        <f t="shared" si="13"/>
        <v>16.5</v>
      </c>
    </row>
    <row r="877" customFormat="1" spans="1:8">
      <c r="A877" s="2">
        <v>46176</v>
      </c>
      <c r="B877" s="3">
        <v>1608854</v>
      </c>
      <c r="C877" s="3" t="s">
        <v>151</v>
      </c>
      <c r="D877" s="4">
        <v>20318236</v>
      </c>
      <c r="E877" s="3" t="s">
        <v>91</v>
      </c>
      <c r="F877" s="4">
        <v>1</v>
      </c>
      <c r="G877" s="5">
        <v>11</v>
      </c>
      <c r="H877" s="5">
        <f t="shared" si="13"/>
        <v>11</v>
      </c>
    </row>
    <row r="878" customFormat="1" spans="1:8">
      <c r="A878" s="2">
        <v>46176</v>
      </c>
      <c r="B878" s="3">
        <v>1608854</v>
      </c>
      <c r="C878" s="3" t="s">
        <v>151</v>
      </c>
      <c r="D878" s="4">
        <v>20329843</v>
      </c>
      <c r="E878" s="3" t="s">
        <v>92</v>
      </c>
      <c r="F878" s="4">
        <v>1</v>
      </c>
      <c r="G878" s="5">
        <v>11</v>
      </c>
      <c r="H878" s="5">
        <f t="shared" si="13"/>
        <v>11</v>
      </c>
    </row>
    <row r="879" customFormat="1" spans="1:8">
      <c r="A879" s="2">
        <v>46176</v>
      </c>
      <c r="B879" s="3">
        <v>1608854</v>
      </c>
      <c r="C879" s="3" t="s">
        <v>151</v>
      </c>
      <c r="D879" s="4">
        <v>20318250</v>
      </c>
      <c r="E879" s="3" t="s">
        <v>113</v>
      </c>
      <c r="F879" s="4">
        <v>1</v>
      </c>
      <c r="G879" s="5">
        <v>8</v>
      </c>
      <c r="H879" s="5">
        <f t="shared" si="13"/>
        <v>8</v>
      </c>
    </row>
    <row r="880" customFormat="1" spans="1:8">
      <c r="A880" s="2">
        <v>46176</v>
      </c>
      <c r="B880" s="3">
        <v>1608854</v>
      </c>
      <c r="C880" s="3" t="s">
        <v>151</v>
      </c>
      <c r="D880" s="4">
        <v>20329847</v>
      </c>
      <c r="E880" s="3" t="s">
        <v>129</v>
      </c>
      <c r="F880" s="4">
        <v>3</v>
      </c>
      <c r="G880" s="5">
        <v>13</v>
      </c>
      <c r="H880" s="5">
        <f t="shared" si="13"/>
        <v>39</v>
      </c>
    </row>
    <row r="881" customFormat="1" spans="1:8">
      <c r="A881" s="2">
        <v>46176</v>
      </c>
      <c r="B881" s="3">
        <v>1608854</v>
      </c>
      <c r="C881" s="3" t="s">
        <v>151</v>
      </c>
      <c r="D881" s="4">
        <v>20318231</v>
      </c>
      <c r="E881" s="3" t="s">
        <v>130</v>
      </c>
      <c r="F881" s="4">
        <v>7</v>
      </c>
      <c r="G881" s="5">
        <v>16.5</v>
      </c>
      <c r="H881" s="5">
        <f t="shared" si="13"/>
        <v>115.5</v>
      </c>
    </row>
    <row r="882" customFormat="1" spans="1:8">
      <c r="A882" s="2">
        <v>46176</v>
      </c>
      <c r="B882" s="3">
        <v>1608854</v>
      </c>
      <c r="C882" s="3" t="s">
        <v>155</v>
      </c>
      <c r="D882" s="4">
        <v>20322228</v>
      </c>
      <c r="E882" s="3" t="s">
        <v>74</v>
      </c>
      <c r="F882" s="4">
        <v>1</v>
      </c>
      <c r="G882" s="5">
        <v>15</v>
      </c>
      <c r="H882" s="5">
        <f t="shared" si="13"/>
        <v>15</v>
      </c>
    </row>
    <row r="883" customFormat="1" spans="1:8">
      <c r="A883" s="2">
        <v>46176</v>
      </c>
      <c r="B883" s="3">
        <v>1608854</v>
      </c>
      <c r="C883" s="3" t="s">
        <v>153</v>
      </c>
      <c r="D883" s="4">
        <v>20321257</v>
      </c>
      <c r="E883" s="3" t="s">
        <v>68</v>
      </c>
      <c r="F883" s="4">
        <v>3</v>
      </c>
      <c r="G883" s="5">
        <v>16.5</v>
      </c>
      <c r="H883" s="5">
        <f t="shared" si="13"/>
        <v>49.5</v>
      </c>
    </row>
    <row r="884" customFormat="1" spans="1:8">
      <c r="A884" s="2">
        <v>46176</v>
      </c>
      <c r="B884" s="3">
        <v>1608854</v>
      </c>
      <c r="C884" s="3" t="s">
        <v>153</v>
      </c>
      <c r="D884" s="4">
        <v>20318262</v>
      </c>
      <c r="E884" s="3" t="s">
        <v>77</v>
      </c>
      <c r="F884" s="4">
        <v>1</v>
      </c>
      <c r="G884" s="5">
        <v>16.5</v>
      </c>
      <c r="H884" s="5">
        <f t="shared" si="13"/>
        <v>16.5</v>
      </c>
    </row>
    <row r="885" customFormat="1" spans="1:8">
      <c r="A885" s="14">
        <v>46176</v>
      </c>
      <c r="B885" s="15">
        <v>1608854</v>
      </c>
      <c r="C885" s="15" t="s">
        <v>153</v>
      </c>
      <c r="D885" s="16">
        <v>20014827</v>
      </c>
      <c r="E885" s="15" t="s">
        <v>84</v>
      </c>
      <c r="F885" s="16">
        <v>2</v>
      </c>
      <c r="G885" s="17">
        <v>16.5</v>
      </c>
      <c r="H885" s="17">
        <f t="shared" si="13"/>
        <v>33</v>
      </c>
    </row>
    <row r="886" customFormat="1" spans="1:8">
      <c r="A886" s="14">
        <v>46176</v>
      </c>
      <c r="B886" s="15">
        <v>1608854</v>
      </c>
      <c r="C886" s="15" t="s">
        <v>153</v>
      </c>
      <c r="D886" s="16">
        <v>20014824</v>
      </c>
      <c r="E886" s="15" t="s">
        <v>85</v>
      </c>
      <c r="F886" s="16">
        <v>2</v>
      </c>
      <c r="G886" s="17">
        <v>16.5</v>
      </c>
      <c r="H886" s="17">
        <f t="shared" si="13"/>
        <v>33</v>
      </c>
    </row>
    <row r="887" customFormat="1" spans="1:8">
      <c r="A887" s="2">
        <v>46176</v>
      </c>
      <c r="B887" s="3">
        <v>1608915</v>
      </c>
      <c r="C887" s="3" t="s">
        <v>150</v>
      </c>
      <c r="D887" s="4">
        <v>20326613</v>
      </c>
      <c r="E887" s="3" t="s">
        <v>78</v>
      </c>
      <c r="F887" s="4">
        <v>2</v>
      </c>
      <c r="G887" s="5">
        <v>88</v>
      </c>
      <c r="H887" s="5">
        <f t="shared" si="13"/>
        <v>176</v>
      </c>
    </row>
    <row r="888" customFormat="1" spans="1:8">
      <c r="A888" s="2">
        <v>46176</v>
      </c>
      <c r="B888" s="3">
        <v>1608915</v>
      </c>
      <c r="C888" s="3" t="s">
        <v>150</v>
      </c>
      <c r="D888" s="4">
        <v>20318156</v>
      </c>
      <c r="E888" s="3" t="s">
        <v>112</v>
      </c>
      <c r="F888" s="4">
        <v>1</v>
      </c>
      <c r="G888" s="5">
        <v>154</v>
      </c>
      <c r="H888" s="5">
        <f t="shared" si="13"/>
        <v>154</v>
      </c>
    </row>
    <row r="889" customFormat="1" spans="1:8">
      <c r="A889" s="2">
        <v>46176</v>
      </c>
      <c r="B889" s="3">
        <v>1608915</v>
      </c>
      <c r="C889" s="3" t="s">
        <v>150</v>
      </c>
      <c r="D889" s="4">
        <v>20312951</v>
      </c>
      <c r="E889" s="3" t="s">
        <v>121</v>
      </c>
      <c r="F889" s="4">
        <v>1</v>
      </c>
      <c r="G889" s="5">
        <v>165</v>
      </c>
      <c r="H889" s="5">
        <f t="shared" si="13"/>
        <v>165</v>
      </c>
    </row>
    <row r="890" customFormat="1" spans="1:8">
      <c r="A890" s="2">
        <v>46176</v>
      </c>
      <c r="B890" s="3">
        <v>1608915</v>
      </c>
      <c r="C890" s="3" t="s">
        <v>150</v>
      </c>
      <c r="D890" s="4">
        <v>20318098</v>
      </c>
      <c r="E890" s="3" t="s">
        <v>136</v>
      </c>
      <c r="F890" s="4">
        <v>1</v>
      </c>
      <c r="G890" s="5">
        <v>176</v>
      </c>
      <c r="H890" s="5">
        <f t="shared" si="13"/>
        <v>176</v>
      </c>
    </row>
    <row r="891" customFormat="1" spans="1:8">
      <c r="A891" s="2">
        <v>46176</v>
      </c>
      <c r="B891" s="3">
        <v>1608915</v>
      </c>
      <c r="C891" s="3" t="s">
        <v>154</v>
      </c>
      <c r="D891" s="4">
        <v>20328192</v>
      </c>
      <c r="E891" s="3" t="s">
        <v>75</v>
      </c>
      <c r="F891" s="4">
        <v>1</v>
      </c>
      <c r="G891" s="5">
        <v>38.5</v>
      </c>
      <c r="H891" s="5">
        <f t="shared" si="13"/>
        <v>38.5</v>
      </c>
    </row>
    <row r="892" customFormat="1" spans="1:8">
      <c r="A892" s="2">
        <v>46176</v>
      </c>
      <c r="B892" s="3">
        <v>1608915</v>
      </c>
      <c r="C892" s="3" t="s">
        <v>151</v>
      </c>
      <c r="D892" s="4">
        <v>20334283</v>
      </c>
      <c r="E892" s="3" t="s">
        <v>101</v>
      </c>
      <c r="F892" s="4">
        <v>1</v>
      </c>
      <c r="G892" s="5">
        <v>11</v>
      </c>
      <c r="H892" s="5">
        <f t="shared" si="13"/>
        <v>11</v>
      </c>
    </row>
    <row r="893" customFormat="1" spans="1:8">
      <c r="A893" s="2">
        <v>46176</v>
      </c>
      <c r="B893" s="3">
        <v>1608915</v>
      </c>
      <c r="C893" s="3" t="s">
        <v>151</v>
      </c>
      <c r="D893" s="4">
        <v>20333778</v>
      </c>
      <c r="E893" s="3" t="s">
        <v>116</v>
      </c>
      <c r="F893" s="4">
        <v>1</v>
      </c>
      <c r="G893" s="5">
        <v>16.5</v>
      </c>
      <c r="H893" s="5">
        <f t="shared" si="13"/>
        <v>16.5</v>
      </c>
    </row>
    <row r="894" customFormat="1" spans="1:8">
      <c r="A894" s="2">
        <v>46176</v>
      </c>
      <c r="B894" s="3">
        <v>1608915</v>
      </c>
      <c r="C894" s="3" t="s">
        <v>151</v>
      </c>
      <c r="D894" s="4">
        <v>20329847</v>
      </c>
      <c r="E894" s="3" t="s">
        <v>129</v>
      </c>
      <c r="F894" s="4">
        <v>1</v>
      </c>
      <c r="G894" s="5">
        <v>13</v>
      </c>
      <c r="H894" s="5">
        <f t="shared" si="13"/>
        <v>13</v>
      </c>
    </row>
    <row r="895" customFormat="1" spans="1:8">
      <c r="A895" s="2">
        <v>46176</v>
      </c>
      <c r="B895" s="3">
        <v>1608915</v>
      </c>
      <c r="C895" s="3" t="s">
        <v>152</v>
      </c>
      <c r="D895" s="4">
        <v>20394933</v>
      </c>
      <c r="E895" s="3" t="s">
        <v>105</v>
      </c>
      <c r="F895" s="4">
        <v>1</v>
      </c>
      <c r="G895" s="5">
        <v>66</v>
      </c>
      <c r="H895" s="5">
        <f t="shared" si="13"/>
        <v>66</v>
      </c>
    </row>
    <row r="896" customFormat="1" spans="1:8">
      <c r="A896" s="2">
        <v>46176</v>
      </c>
      <c r="B896" s="3">
        <v>1608915</v>
      </c>
      <c r="C896" s="3" t="s">
        <v>152</v>
      </c>
      <c r="D896" s="4">
        <v>20351811</v>
      </c>
      <c r="E896" s="3" t="s">
        <v>110</v>
      </c>
      <c r="F896" s="4">
        <v>2</v>
      </c>
      <c r="G896" s="5">
        <v>55</v>
      </c>
      <c r="H896" s="5">
        <f t="shared" si="13"/>
        <v>110</v>
      </c>
    </row>
    <row r="897" customFormat="1" spans="1:8">
      <c r="A897" s="2">
        <v>46176</v>
      </c>
      <c r="B897" s="3">
        <v>1608915</v>
      </c>
      <c r="C897" s="3" t="s">
        <v>153</v>
      </c>
      <c r="D897" s="4">
        <v>20321257</v>
      </c>
      <c r="E897" s="3" t="s">
        <v>68</v>
      </c>
      <c r="F897" s="4">
        <v>2</v>
      </c>
      <c r="G897" s="5">
        <v>16.5</v>
      </c>
      <c r="H897" s="5">
        <f t="shared" si="13"/>
        <v>33</v>
      </c>
    </row>
    <row r="898" customFormat="1" spans="1:8">
      <c r="A898" s="2">
        <v>46176</v>
      </c>
      <c r="B898" s="3">
        <v>1608915</v>
      </c>
      <c r="C898" s="3" t="s">
        <v>153</v>
      </c>
      <c r="D898" s="4">
        <v>20318262</v>
      </c>
      <c r="E898" s="3" t="s">
        <v>77</v>
      </c>
      <c r="F898" s="4">
        <v>1</v>
      </c>
      <c r="G898" s="5">
        <v>16.5</v>
      </c>
      <c r="H898" s="5">
        <f t="shared" ref="H898:H961" si="14">G898*F898</f>
        <v>16.5</v>
      </c>
    </row>
    <row r="899" customFormat="1" spans="1:8">
      <c r="A899" s="2">
        <v>46176</v>
      </c>
      <c r="B899" s="3">
        <v>1608915</v>
      </c>
      <c r="C899" s="3" t="s">
        <v>153</v>
      </c>
      <c r="D899" s="4">
        <v>20318197</v>
      </c>
      <c r="E899" s="3" t="s">
        <v>119</v>
      </c>
      <c r="F899" s="4">
        <v>1</v>
      </c>
      <c r="G899" s="5">
        <v>16.5</v>
      </c>
      <c r="H899" s="5">
        <f t="shared" si="14"/>
        <v>16.5</v>
      </c>
    </row>
    <row r="900" customFormat="1" spans="1:8">
      <c r="A900" s="2">
        <v>46176</v>
      </c>
      <c r="B900" s="3">
        <v>1608941</v>
      </c>
      <c r="C900" s="3" t="s">
        <v>154</v>
      </c>
      <c r="D900" s="4">
        <v>20328192</v>
      </c>
      <c r="E900" s="3" t="s">
        <v>75</v>
      </c>
      <c r="F900" s="4">
        <v>1</v>
      </c>
      <c r="G900" s="5">
        <v>38.5</v>
      </c>
      <c r="H900" s="5">
        <f t="shared" si="14"/>
        <v>38.5</v>
      </c>
    </row>
    <row r="901" customFormat="1" spans="1:8">
      <c r="A901" s="2">
        <v>46176</v>
      </c>
      <c r="B901" s="3">
        <v>1608941</v>
      </c>
      <c r="C901" s="3" t="s">
        <v>153</v>
      </c>
      <c r="D901" s="4">
        <v>20318262</v>
      </c>
      <c r="E901" s="3" t="s">
        <v>77</v>
      </c>
      <c r="F901" s="4">
        <v>1</v>
      </c>
      <c r="G901" s="5">
        <v>16.5</v>
      </c>
      <c r="H901" s="5">
        <f t="shared" si="14"/>
        <v>16.5</v>
      </c>
    </row>
    <row r="902" customFormat="1" spans="1:8">
      <c r="A902" s="2">
        <v>46176</v>
      </c>
      <c r="B902" s="3">
        <v>1608945</v>
      </c>
      <c r="C902" s="3" t="s">
        <v>150</v>
      </c>
      <c r="D902" s="4">
        <v>20328374</v>
      </c>
      <c r="E902" s="3" t="s">
        <v>72</v>
      </c>
      <c r="F902" s="4">
        <v>1</v>
      </c>
      <c r="G902" s="5">
        <v>264</v>
      </c>
      <c r="H902" s="5">
        <f t="shared" si="14"/>
        <v>264</v>
      </c>
    </row>
    <row r="903" customFormat="1" spans="1:8">
      <c r="A903" s="2">
        <v>46176</v>
      </c>
      <c r="B903" s="3">
        <v>1608945</v>
      </c>
      <c r="C903" s="3" t="s">
        <v>152</v>
      </c>
      <c r="D903" s="4">
        <v>20419674</v>
      </c>
      <c r="E903" s="3" t="s">
        <v>104</v>
      </c>
      <c r="F903" s="4">
        <v>1</v>
      </c>
      <c r="G903" s="5">
        <v>66</v>
      </c>
      <c r="H903" s="5">
        <f t="shared" si="14"/>
        <v>66</v>
      </c>
    </row>
    <row r="904" customFormat="1" spans="1:8">
      <c r="A904" s="2">
        <v>46176</v>
      </c>
      <c r="B904" s="3">
        <v>1608945</v>
      </c>
      <c r="C904" s="3" t="s">
        <v>152</v>
      </c>
      <c r="D904" s="4">
        <v>20351811</v>
      </c>
      <c r="E904" s="3" t="s">
        <v>110</v>
      </c>
      <c r="F904" s="4">
        <v>1</v>
      </c>
      <c r="G904" s="5">
        <v>55</v>
      </c>
      <c r="H904" s="5">
        <f t="shared" si="14"/>
        <v>55</v>
      </c>
    </row>
    <row r="905" customFormat="1" spans="1:8">
      <c r="A905" s="2">
        <v>46176</v>
      </c>
      <c r="B905" s="3">
        <v>1608945</v>
      </c>
      <c r="C905" s="3" t="s">
        <v>153</v>
      </c>
      <c r="D905" s="4">
        <v>20321257</v>
      </c>
      <c r="E905" s="3" t="s">
        <v>68</v>
      </c>
      <c r="F905" s="4">
        <v>1</v>
      </c>
      <c r="G905" s="5">
        <v>16.5</v>
      </c>
      <c r="H905" s="5">
        <f t="shared" si="14"/>
        <v>16.5</v>
      </c>
    </row>
    <row r="906" customFormat="1" spans="1:8">
      <c r="A906" s="2">
        <v>46176</v>
      </c>
      <c r="B906" s="3">
        <v>1608945</v>
      </c>
      <c r="C906" s="3" t="s">
        <v>153</v>
      </c>
      <c r="D906" s="4">
        <v>20321468</v>
      </c>
      <c r="E906" s="3" t="s">
        <v>89</v>
      </c>
      <c r="F906" s="4">
        <v>1</v>
      </c>
      <c r="G906" s="5">
        <v>16.5</v>
      </c>
      <c r="H906" s="5">
        <f t="shared" si="14"/>
        <v>16.5</v>
      </c>
    </row>
    <row r="907" customFormat="1" spans="1:8">
      <c r="A907" s="2">
        <v>46177</v>
      </c>
      <c r="B907" s="3">
        <v>1609165</v>
      </c>
      <c r="C907" s="3" t="s">
        <v>154</v>
      </c>
      <c r="D907" s="4">
        <v>20328192</v>
      </c>
      <c r="E907" s="3" t="s">
        <v>75</v>
      </c>
      <c r="F907" s="4">
        <v>1</v>
      </c>
      <c r="G907" s="5">
        <v>38.5</v>
      </c>
      <c r="H907" s="5">
        <f t="shared" si="14"/>
        <v>38.5</v>
      </c>
    </row>
    <row r="908" customFormat="1" spans="1:8">
      <c r="A908" s="2">
        <v>46177</v>
      </c>
      <c r="B908" s="3">
        <v>1609165</v>
      </c>
      <c r="C908" s="3" t="s">
        <v>151</v>
      </c>
      <c r="D908" s="4">
        <v>20321814</v>
      </c>
      <c r="E908" s="3" t="s">
        <v>120</v>
      </c>
      <c r="F908" s="4">
        <v>10</v>
      </c>
      <c r="G908" s="5">
        <v>8</v>
      </c>
      <c r="H908" s="5">
        <f t="shared" si="14"/>
        <v>80</v>
      </c>
    </row>
    <row r="909" customFormat="1" spans="1:8">
      <c r="A909" s="2">
        <v>46177</v>
      </c>
      <c r="B909" s="3">
        <v>1609165</v>
      </c>
      <c r="C909" s="3" t="s">
        <v>151</v>
      </c>
      <c r="D909" s="4">
        <v>20329847</v>
      </c>
      <c r="E909" s="3" t="s">
        <v>129</v>
      </c>
      <c r="F909" s="4">
        <v>3</v>
      </c>
      <c r="G909" s="5">
        <v>13</v>
      </c>
      <c r="H909" s="5">
        <f t="shared" si="14"/>
        <v>39</v>
      </c>
    </row>
    <row r="910" customFormat="1" spans="1:8">
      <c r="A910" s="2">
        <v>46177</v>
      </c>
      <c r="B910" s="3">
        <v>1609165</v>
      </c>
      <c r="C910" s="3" t="s">
        <v>151</v>
      </c>
      <c r="D910" s="4">
        <v>20321810</v>
      </c>
      <c r="E910" s="3" t="s">
        <v>137</v>
      </c>
      <c r="F910" s="4">
        <v>20</v>
      </c>
      <c r="G910" s="5">
        <v>8</v>
      </c>
      <c r="H910" s="5">
        <f t="shared" si="14"/>
        <v>160</v>
      </c>
    </row>
    <row r="911" customFormat="1" spans="1:8">
      <c r="A911" s="2">
        <v>46177</v>
      </c>
      <c r="B911" s="3">
        <v>1609165</v>
      </c>
      <c r="C911" s="3" t="s">
        <v>155</v>
      </c>
      <c r="D911" s="4">
        <v>20322228</v>
      </c>
      <c r="E911" s="3" t="s">
        <v>74</v>
      </c>
      <c r="F911" s="4">
        <v>1</v>
      </c>
      <c r="G911" s="5">
        <v>15</v>
      </c>
      <c r="H911" s="5">
        <f t="shared" si="14"/>
        <v>15</v>
      </c>
    </row>
    <row r="912" customFormat="1" spans="1:8">
      <c r="A912" s="2">
        <v>46177</v>
      </c>
      <c r="B912" s="3">
        <v>1609165</v>
      </c>
      <c r="C912" s="3" t="s">
        <v>153</v>
      </c>
      <c r="D912" s="4">
        <v>20329844</v>
      </c>
      <c r="E912" s="3" t="s">
        <v>70</v>
      </c>
      <c r="F912" s="4">
        <v>1</v>
      </c>
      <c r="G912" s="5">
        <v>16.5</v>
      </c>
      <c r="H912" s="5">
        <f t="shared" si="14"/>
        <v>16.5</v>
      </c>
    </row>
    <row r="913" customFormat="1" spans="1:8">
      <c r="A913" s="2">
        <v>46177</v>
      </c>
      <c r="B913" s="3">
        <v>1609182</v>
      </c>
      <c r="C913" s="3" t="s">
        <v>150</v>
      </c>
      <c r="D913" s="4">
        <v>20326613</v>
      </c>
      <c r="E913" s="3" t="s">
        <v>78</v>
      </c>
      <c r="F913" s="4">
        <v>5</v>
      </c>
      <c r="G913" s="5">
        <v>88</v>
      </c>
      <c r="H913" s="5">
        <f t="shared" si="14"/>
        <v>440</v>
      </c>
    </row>
    <row r="914" customFormat="1" spans="1:8">
      <c r="A914" s="2">
        <v>46177</v>
      </c>
      <c r="B914" s="3">
        <v>1609182</v>
      </c>
      <c r="C914" s="3" t="s">
        <v>154</v>
      </c>
      <c r="D914" s="4">
        <v>20328192</v>
      </c>
      <c r="E914" s="3" t="s">
        <v>75</v>
      </c>
      <c r="F914" s="4">
        <v>1</v>
      </c>
      <c r="G914" s="5">
        <v>38.5</v>
      </c>
      <c r="H914" s="5">
        <f t="shared" si="14"/>
        <v>38.5</v>
      </c>
    </row>
    <row r="915" customFormat="1" spans="1:8">
      <c r="A915" s="2">
        <v>46177</v>
      </c>
      <c r="B915" s="3">
        <v>1609182</v>
      </c>
      <c r="C915" s="3" t="s">
        <v>151</v>
      </c>
      <c r="D915" s="4">
        <v>20318231</v>
      </c>
      <c r="E915" s="3" t="s">
        <v>130</v>
      </c>
      <c r="F915" s="4">
        <v>1</v>
      </c>
      <c r="G915" s="5">
        <v>16.5</v>
      </c>
      <c r="H915" s="5">
        <f t="shared" si="14"/>
        <v>16.5</v>
      </c>
    </row>
    <row r="916" customFormat="1" spans="1:8">
      <c r="A916" s="2">
        <v>46177</v>
      </c>
      <c r="B916" s="3">
        <v>1609186</v>
      </c>
      <c r="C916" s="3" t="s">
        <v>150</v>
      </c>
      <c r="D916" s="4">
        <v>20326613</v>
      </c>
      <c r="E916" s="3" t="s">
        <v>78</v>
      </c>
      <c r="F916" s="4">
        <v>4</v>
      </c>
      <c r="G916" s="5">
        <v>88</v>
      </c>
      <c r="H916" s="5">
        <f t="shared" si="14"/>
        <v>352</v>
      </c>
    </row>
    <row r="917" customFormat="1" spans="1:8">
      <c r="A917" s="2">
        <v>46177</v>
      </c>
      <c r="B917" s="3">
        <v>1609186</v>
      </c>
      <c r="C917" s="3" t="s">
        <v>150</v>
      </c>
      <c r="D917" s="4">
        <v>20377845</v>
      </c>
      <c r="E917" s="3" t="s">
        <v>106</v>
      </c>
      <c r="F917" s="4">
        <v>1</v>
      </c>
      <c r="G917" s="5">
        <v>66</v>
      </c>
      <c r="H917" s="5">
        <f t="shared" si="14"/>
        <v>66</v>
      </c>
    </row>
    <row r="918" customFormat="1" spans="1:8">
      <c r="A918" s="2">
        <v>46177</v>
      </c>
      <c r="B918" s="3">
        <v>1609186</v>
      </c>
      <c r="C918" s="3" t="s">
        <v>151</v>
      </c>
      <c r="D918" s="4">
        <v>20318231</v>
      </c>
      <c r="E918" s="3" t="s">
        <v>130</v>
      </c>
      <c r="F918" s="4">
        <v>1</v>
      </c>
      <c r="G918" s="5">
        <v>16.5</v>
      </c>
      <c r="H918" s="5">
        <f t="shared" si="14"/>
        <v>16.5</v>
      </c>
    </row>
    <row r="919" customFormat="1" spans="1:8">
      <c r="A919" s="2">
        <v>46177</v>
      </c>
      <c r="B919" s="3">
        <v>1609186</v>
      </c>
      <c r="C919" s="3" t="s">
        <v>152</v>
      </c>
      <c r="D919" s="4">
        <v>20394933</v>
      </c>
      <c r="E919" s="3" t="s">
        <v>105</v>
      </c>
      <c r="F919" s="4">
        <v>1</v>
      </c>
      <c r="G919" s="5">
        <v>66</v>
      </c>
      <c r="H919" s="5">
        <f t="shared" si="14"/>
        <v>66</v>
      </c>
    </row>
    <row r="920" customFormat="1" spans="1:8">
      <c r="A920" s="2">
        <v>46177</v>
      </c>
      <c r="B920" s="3">
        <v>1609186</v>
      </c>
      <c r="C920" s="3" t="s">
        <v>152</v>
      </c>
      <c r="D920" s="4">
        <v>20351811</v>
      </c>
      <c r="E920" s="3" t="s">
        <v>110</v>
      </c>
      <c r="F920" s="4">
        <v>1</v>
      </c>
      <c r="G920" s="5">
        <v>55</v>
      </c>
      <c r="H920" s="5">
        <f t="shared" si="14"/>
        <v>55</v>
      </c>
    </row>
    <row r="921" customFormat="1" spans="1:8">
      <c r="A921" s="2">
        <v>46177</v>
      </c>
      <c r="B921" s="3">
        <v>1609186</v>
      </c>
      <c r="C921" s="3" t="s">
        <v>153</v>
      </c>
      <c r="D921" s="4">
        <v>20321257</v>
      </c>
      <c r="E921" s="3" t="s">
        <v>68</v>
      </c>
      <c r="F921" s="4">
        <v>5</v>
      </c>
      <c r="G921" s="5">
        <v>16.5</v>
      </c>
      <c r="H921" s="5">
        <f t="shared" si="14"/>
        <v>82.5</v>
      </c>
    </row>
    <row r="922" customFormat="1" spans="1:8">
      <c r="A922" s="14">
        <v>46177</v>
      </c>
      <c r="B922" s="15">
        <v>1609186</v>
      </c>
      <c r="C922" s="15" t="s">
        <v>153</v>
      </c>
      <c r="D922" s="16">
        <v>20014827</v>
      </c>
      <c r="E922" s="15" t="s">
        <v>84</v>
      </c>
      <c r="F922" s="16">
        <v>1</v>
      </c>
      <c r="G922" s="17">
        <v>16.5</v>
      </c>
      <c r="H922" s="17">
        <f t="shared" si="14"/>
        <v>16.5</v>
      </c>
    </row>
    <row r="923" customFormat="1" spans="1:8">
      <c r="A923" s="14">
        <v>46177</v>
      </c>
      <c r="B923" s="15">
        <v>1609186</v>
      </c>
      <c r="C923" s="15" t="s">
        <v>153</v>
      </c>
      <c r="D923" s="16">
        <v>20014824</v>
      </c>
      <c r="E923" s="15" t="s">
        <v>85</v>
      </c>
      <c r="F923" s="16">
        <v>1</v>
      </c>
      <c r="G923" s="17">
        <v>16.5</v>
      </c>
      <c r="H923" s="17">
        <f t="shared" si="14"/>
        <v>16.5</v>
      </c>
    </row>
    <row r="924" customFormat="1" spans="1:8">
      <c r="A924" s="2">
        <v>46177</v>
      </c>
      <c r="B924" s="3">
        <v>1609292</v>
      </c>
      <c r="C924" s="3" t="s">
        <v>150</v>
      </c>
      <c r="D924" s="4">
        <v>20326613</v>
      </c>
      <c r="E924" s="3" t="s">
        <v>78</v>
      </c>
      <c r="F924" s="4">
        <v>4</v>
      </c>
      <c r="G924" s="5">
        <v>88</v>
      </c>
      <c r="H924" s="5">
        <f t="shared" si="14"/>
        <v>352</v>
      </c>
    </row>
    <row r="925" customFormat="1" spans="1:8">
      <c r="A925" s="2">
        <v>46177</v>
      </c>
      <c r="B925" s="3">
        <v>1609292</v>
      </c>
      <c r="C925" s="3" t="s">
        <v>150</v>
      </c>
      <c r="D925" s="4">
        <v>20312951</v>
      </c>
      <c r="E925" s="3" t="s">
        <v>121</v>
      </c>
      <c r="F925" s="4">
        <v>1</v>
      </c>
      <c r="G925" s="5">
        <v>165</v>
      </c>
      <c r="H925" s="5">
        <f t="shared" si="14"/>
        <v>165</v>
      </c>
    </row>
    <row r="926" customFormat="1" spans="1:8">
      <c r="A926" s="2">
        <v>46177</v>
      </c>
      <c r="B926" s="3">
        <v>1609292</v>
      </c>
      <c r="C926" s="3" t="s">
        <v>154</v>
      </c>
      <c r="D926" s="4">
        <v>20328192</v>
      </c>
      <c r="E926" s="3" t="s">
        <v>75</v>
      </c>
      <c r="F926" s="4">
        <v>1</v>
      </c>
      <c r="G926" s="5">
        <v>38.5</v>
      </c>
      <c r="H926" s="5">
        <f t="shared" si="14"/>
        <v>38.5</v>
      </c>
    </row>
    <row r="927" customFormat="1" spans="1:8">
      <c r="A927" s="2">
        <v>46177</v>
      </c>
      <c r="B927" s="3">
        <v>1609292</v>
      </c>
      <c r="C927" s="3" t="s">
        <v>151</v>
      </c>
      <c r="D927" s="4">
        <v>20318247</v>
      </c>
      <c r="E927" s="3" t="s">
        <v>69</v>
      </c>
      <c r="F927" s="4">
        <v>1</v>
      </c>
      <c r="G927" s="5">
        <v>8</v>
      </c>
      <c r="H927" s="5">
        <f t="shared" si="14"/>
        <v>8</v>
      </c>
    </row>
    <row r="928" customFormat="1" spans="1:8">
      <c r="A928" s="2">
        <v>46177</v>
      </c>
      <c r="B928" s="3">
        <v>1609292</v>
      </c>
      <c r="C928" s="3" t="s">
        <v>151</v>
      </c>
      <c r="D928" s="4">
        <v>20318257</v>
      </c>
      <c r="E928" s="3" t="s">
        <v>86</v>
      </c>
      <c r="F928" s="4">
        <v>1</v>
      </c>
      <c r="G928" s="5">
        <v>8</v>
      </c>
      <c r="H928" s="5">
        <f t="shared" si="14"/>
        <v>8</v>
      </c>
    </row>
    <row r="929" customFormat="1" spans="1:8">
      <c r="A929" s="2">
        <v>46177</v>
      </c>
      <c r="B929" s="3">
        <v>1609292</v>
      </c>
      <c r="C929" s="3" t="s">
        <v>151</v>
      </c>
      <c r="D929" s="4">
        <v>20318235</v>
      </c>
      <c r="E929" s="3" t="s">
        <v>88</v>
      </c>
      <c r="F929" s="4">
        <v>1</v>
      </c>
      <c r="G929" s="5">
        <v>8</v>
      </c>
      <c r="H929" s="5">
        <f t="shared" si="14"/>
        <v>8</v>
      </c>
    </row>
    <row r="930" customFormat="1" spans="1:8">
      <c r="A930" s="2">
        <v>46177</v>
      </c>
      <c r="B930" s="3">
        <v>1609292</v>
      </c>
      <c r="C930" s="3" t="s">
        <v>151</v>
      </c>
      <c r="D930" s="4">
        <v>20329846</v>
      </c>
      <c r="E930" s="3" t="s">
        <v>90</v>
      </c>
      <c r="F930" s="4">
        <v>1</v>
      </c>
      <c r="G930" s="5">
        <v>13.5</v>
      </c>
      <c r="H930" s="5">
        <f t="shared" si="14"/>
        <v>13.5</v>
      </c>
    </row>
    <row r="931" customFormat="1" spans="1:8">
      <c r="A931" s="2">
        <v>46177</v>
      </c>
      <c r="B931" s="3">
        <v>1609292</v>
      </c>
      <c r="C931" s="3" t="s">
        <v>151</v>
      </c>
      <c r="D931" s="4">
        <v>20318166</v>
      </c>
      <c r="E931" s="3" t="s">
        <v>93</v>
      </c>
      <c r="F931" s="4">
        <v>2</v>
      </c>
      <c r="G931" s="5">
        <v>8</v>
      </c>
      <c r="H931" s="5">
        <f t="shared" si="14"/>
        <v>16</v>
      </c>
    </row>
    <row r="932" customFormat="1" spans="1:8">
      <c r="A932" s="2">
        <v>46177</v>
      </c>
      <c r="B932" s="3">
        <v>1609292</v>
      </c>
      <c r="C932" s="3" t="s">
        <v>151</v>
      </c>
      <c r="D932" s="4">
        <v>20318259</v>
      </c>
      <c r="E932" s="3" t="s">
        <v>122</v>
      </c>
      <c r="F932" s="4">
        <v>1</v>
      </c>
      <c r="G932" s="5">
        <v>22</v>
      </c>
      <c r="H932" s="5">
        <f t="shared" si="14"/>
        <v>22</v>
      </c>
    </row>
    <row r="933" customFormat="1" spans="1:8">
      <c r="A933" s="2">
        <v>46177</v>
      </c>
      <c r="B933" s="3">
        <v>1609292</v>
      </c>
      <c r="C933" s="3" t="s">
        <v>151</v>
      </c>
      <c r="D933" s="4">
        <v>20329847</v>
      </c>
      <c r="E933" s="3" t="s">
        <v>129</v>
      </c>
      <c r="F933" s="4">
        <v>2</v>
      </c>
      <c r="G933" s="5">
        <v>13</v>
      </c>
      <c r="H933" s="5">
        <f t="shared" si="14"/>
        <v>26</v>
      </c>
    </row>
    <row r="934" customFormat="1" spans="1:8">
      <c r="A934" s="2">
        <v>46177</v>
      </c>
      <c r="B934" s="3">
        <v>1609292</v>
      </c>
      <c r="C934" s="3" t="s">
        <v>152</v>
      </c>
      <c r="D934" s="4">
        <v>20419674</v>
      </c>
      <c r="E934" s="3" t="s">
        <v>104</v>
      </c>
      <c r="F934" s="4">
        <v>1</v>
      </c>
      <c r="G934" s="5">
        <v>66</v>
      </c>
      <c r="H934" s="5">
        <f t="shared" si="14"/>
        <v>66</v>
      </c>
    </row>
    <row r="935" customFormat="1" spans="1:8">
      <c r="A935" s="2">
        <v>46177</v>
      </c>
      <c r="B935" s="3">
        <v>1609292</v>
      </c>
      <c r="C935" s="3" t="s">
        <v>152</v>
      </c>
      <c r="D935" s="4">
        <v>20394933</v>
      </c>
      <c r="E935" s="3" t="s">
        <v>105</v>
      </c>
      <c r="F935" s="4">
        <v>1</v>
      </c>
      <c r="G935" s="5">
        <v>66</v>
      </c>
      <c r="H935" s="5">
        <f t="shared" si="14"/>
        <v>66</v>
      </c>
    </row>
    <row r="936" customFormat="1" spans="1:8">
      <c r="A936" s="2">
        <v>46177</v>
      </c>
      <c r="B936" s="3">
        <v>1609292</v>
      </c>
      <c r="C936" s="3" t="s">
        <v>152</v>
      </c>
      <c r="D936" s="4">
        <v>20351811</v>
      </c>
      <c r="E936" s="3" t="s">
        <v>110</v>
      </c>
      <c r="F936" s="4">
        <v>2</v>
      </c>
      <c r="G936" s="5">
        <v>55</v>
      </c>
      <c r="H936" s="5">
        <f t="shared" si="14"/>
        <v>110</v>
      </c>
    </row>
    <row r="937" customFormat="1" spans="1:8">
      <c r="A937" s="2">
        <v>46177</v>
      </c>
      <c r="B937" s="3">
        <v>1609292</v>
      </c>
      <c r="C937" s="3" t="s">
        <v>153</v>
      </c>
      <c r="D937" s="4">
        <v>20321257</v>
      </c>
      <c r="E937" s="3" t="s">
        <v>68</v>
      </c>
      <c r="F937" s="4">
        <v>1</v>
      </c>
      <c r="G937" s="5">
        <v>16.5</v>
      </c>
      <c r="H937" s="5">
        <f t="shared" si="14"/>
        <v>16.5</v>
      </c>
    </row>
    <row r="938" customFormat="1" spans="1:8">
      <c r="A938" s="2">
        <v>46177</v>
      </c>
      <c r="B938" s="3">
        <v>1609292</v>
      </c>
      <c r="C938" s="3" t="s">
        <v>153</v>
      </c>
      <c r="D938" s="4">
        <v>20329844</v>
      </c>
      <c r="E938" s="3" t="s">
        <v>70</v>
      </c>
      <c r="F938" s="4">
        <v>1</v>
      </c>
      <c r="G938" s="5">
        <v>16.5</v>
      </c>
      <c r="H938" s="5">
        <f t="shared" si="14"/>
        <v>16.5</v>
      </c>
    </row>
    <row r="939" customFormat="1" spans="1:8">
      <c r="A939" s="2">
        <v>46177</v>
      </c>
      <c r="B939" s="3">
        <v>1609292</v>
      </c>
      <c r="C939" s="3" t="s">
        <v>153</v>
      </c>
      <c r="D939" s="4">
        <v>20318262</v>
      </c>
      <c r="E939" s="3" t="s">
        <v>77</v>
      </c>
      <c r="F939" s="4">
        <v>3</v>
      </c>
      <c r="G939" s="5">
        <v>16.5</v>
      </c>
      <c r="H939" s="5">
        <f t="shared" si="14"/>
        <v>49.5</v>
      </c>
    </row>
    <row r="940" customFormat="1" spans="1:8">
      <c r="A940" s="2">
        <v>46177</v>
      </c>
      <c r="B940" s="3">
        <v>1609292</v>
      </c>
      <c r="C940" s="3" t="s">
        <v>153</v>
      </c>
      <c r="D940" s="4">
        <v>20321468</v>
      </c>
      <c r="E940" s="3" t="s">
        <v>89</v>
      </c>
      <c r="F940" s="4">
        <v>1</v>
      </c>
      <c r="G940" s="5">
        <v>16.5</v>
      </c>
      <c r="H940" s="5">
        <f t="shared" si="14"/>
        <v>16.5</v>
      </c>
    </row>
    <row r="941" customFormat="1" spans="1:8">
      <c r="A941" s="2">
        <v>46177</v>
      </c>
      <c r="B941" s="3">
        <v>1609302</v>
      </c>
      <c r="C941" s="3" t="s">
        <v>150</v>
      </c>
      <c r="D941" s="4">
        <v>20326613</v>
      </c>
      <c r="E941" s="3" t="s">
        <v>78</v>
      </c>
      <c r="F941" s="4">
        <v>3</v>
      </c>
      <c r="G941" s="5">
        <v>88</v>
      </c>
      <c r="H941" s="5">
        <f t="shared" si="14"/>
        <v>264</v>
      </c>
    </row>
    <row r="942" customFormat="1" spans="1:8">
      <c r="A942" s="2">
        <v>46177</v>
      </c>
      <c r="B942" s="3">
        <v>1609302</v>
      </c>
      <c r="C942" s="3" t="s">
        <v>150</v>
      </c>
      <c r="D942" s="4">
        <v>20318156</v>
      </c>
      <c r="E942" s="3" t="s">
        <v>112</v>
      </c>
      <c r="F942" s="4">
        <v>1</v>
      </c>
      <c r="G942" s="5">
        <v>154</v>
      </c>
      <c r="H942" s="5">
        <f t="shared" si="14"/>
        <v>154</v>
      </c>
    </row>
    <row r="943" customFormat="1" spans="1:8">
      <c r="A943" s="2">
        <v>46177</v>
      </c>
      <c r="B943" s="3">
        <v>1609302</v>
      </c>
      <c r="C943" s="3" t="s">
        <v>151</v>
      </c>
      <c r="D943" s="4">
        <v>20318259</v>
      </c>
      <c r="E943" s="3" t="s">
        <v>122</v>
      </c>
      <c r="F943" s="4">
        <v>1</v>
      </c>
      <c r="G943" s="5">
        <v>22</v>
      </c>
      <c r="H943" s="5">
        <f t="shared" si="14"/>
        <v>22</v>
      </c>
    </row>
    <row r="944" customFormat="1" spans="1:8">
      <c r="A944" s="2">
        <v>46177</v>
      </c>
      <c r="B944" s="3">
        <v>1609302</v>
      </c>
      <c r="C944" s="3" t="s">
        <v>151</v>
      </c>
      <c r="D944" s="4">
        <v>20329847</v>
      </c>
      <c r="E944" s="3" t="s">
        <v>129</v>
      </c>
      <c r="F944" s="4">
        <v>1</v>
      </c>
      <c r="G944" s="5">
        <v>13</v>
      </c>
      <c r="H944" s="5">
        <f t="shared" si="14"/>
        <v>13</v>
      </c>
    </row>
    <row r="945" customFormat="1" spans="1:8">
      <c r="A945" s="2">
        <v>46177</v>
      </c>
      <c r="B945" s="3">
        <v>1609302</v>
      </c>
      <c r="C945" s="3" t="s">
        <v>153</v>
      </c>
      <c r="D945" s="4">
        <v>20321257</v>
      </c>
      <c r="E945" s="3" t="s">
        <v>68</v>
      </c>
      <c r="F945" s="4">
        <v>2</v>
      </c>
      <c r="G945" s="5">
        <v>16.5</v>
      </c>
      <c r="H945" s="5">
        <f t="shared" si="14"/>
        <v>33</v>
      </c>
    </row>
    <row r="946" customFormat="1" spans="1:8">
      <c r="A946" s="2">
        <v>46177</v>
      </c>
      <c r="B946" s="3">
        <v>1609302</v>
      </c>
      <c r="C946" s="3" t="s">
        <v>153</v>
      </c>
      <c r="D946" s="4">
        <v>20329874</v>
      </c>
      <c r="E946" s="3" t="s">
        <v>73</v>
      </c>
      <c r="F946" s="4">
        <v>1</v>
      </c>
      <c r="G946" s="5">
        <v>16.5</v>
      </c>
      <c r="H946" s="5">
        <f t="shared" si="14"/>
        <v>16.5</v>
      </c>
    </row>
    <row r="947" customFormat="1" spans="1:8">
      <c r="A947" s="2">
        <v>46177</v>
      </c>
      <c r="B947" s="3">
        <v>1609302</v>
      </c>
      <c r="C947" s="3" t="s">
        <v>153</v>
      </c>
      <c r="D947" s="4">
        <v>20318262</v>
      </c>
      <c r="E947" s="3" t="s">
        <v>77</v>
      </c>
      <c r="F947" s="4">
        <v>2</v>
      </c>
      <c r="G947" s="5">
        <v>16.5</v>
      </c>
      <c r="H947" s="5">
        <f t="shared" si="14"/>
        <v>33</v>
      </c>
    </row>
    <row r="948" customFormat="1" spans="1:8">
      <c r="A948" s="2">
        <v>46177</v>
      </c>
      <c r="B948" s="3">
        <v>1609302</v>
      </c>
      <c r="C948" s="3" t="s">
        <v>153</v>
      </c>
      <c r="D948" s="4">
        <v>20321468</v>
      </c>
      <c r="E948" s="3" t="s">
        <v>89</v>
      </c>
      <c r="F948" s="4">
        <v>1</v>
      </c>
      <c r="G948" s="5">
        <v>16.5</v>
      </c>
      <c r="H948" s="5">
        <f t="shared" si="14"/>
        <v>16.5</v>
      </c>
    </row>
    <row r="949" customFormat="1" spans="1:8">
      <c r="A949" s="2">
        <v>46178</v>
      </c>
      <c r="B949" s="3">
        <v>1609592</v>
      </c>
      <c r="C949" s="3" t="s">
        <v>150</v>
      </c>
      <c r="D949" s="4">
        <v>20326613</v>
      </c>
      <c r="E949" s="3" t="s">
        <v>78</v>
      </c>
      <c r="F949" s="4">
        <v>13</v>
      </c>
      <c r="G949" s="5">
        <v>88</v>
      </c>
      <c r="H949" s="5">
        <f t="shared" si="14"/>
        <v>1144</v>
      </c>
    </row>
    <row r="950" customFormat="1" spans="1:8">
      <c r="A950" s="2">
        <v>46178</v>
      </c>
      <c r="B950" s="3">
        <v>1609592</v>
      </c>
      <c r="C950" s="3" t="s">
        <v>151</v>
      </c>
      <c r="D950" s="4">
        <v>20421967</v>
      </c>
      <c r="E950" s="3" t="s">
        <v>66</v>
      </c>
      <c r="F950" s="4">
        <v>1</v>
      </c>
      <c r="G950" s="5">
        <v>8</v>
      </c>
      <c r="H950" s="5">
        <f t="shared" si="14"/>
        <v>8</v>
      </c>
    </row>
    <row r="951" customFormat="1" spans="1:8">
      <c r="A951" s="2">
        <v>46178</v>
      </c>
      <c r="B951" s="3">
        <v>1609592</v>
      </c>
      <c r="C951" s="3" t="s">
        <v>151</v>
      </c>
      <c r="D951" s="4">
        <v>20318247</v>
      </c>
      <c r="E951" s="3" t="s">
        <v>69</v>
      </c>
      <c r="F951" s="4">
        <v>1</v>
      </c>
      <c r="G951" s="5">
        <v>8</v>
      </c>
      <c r="H951" s="5">
        <f t="shared" si="14"/>
        <v>8</v>
      </c>
    </row>
    <row r="952" customFormat="1" spans="1:8">
      <c r="A952" s="2">
        <v>46178</v>
      </c>
      <c r="B952" s="3">
        <v>1609592</v>
      </c>
      <c r="C952" s="3" t="s">
        <v>151</v>
      </c>
      <c r="D952" s="4">
        <v>20318257</v>
      </c>
      <c r="E952" s="3" t="s">
        <v>86</v>
      </c>
      <c r="F952" s="4">
        <v>2</v>
      </c>
      <c r="G952" s="5">
        <v>8</v>
      </c>
      <c r="H952" s="5">
        <f t="shared" si="14"/>
        <v>16</v>
      </c>
    </row>
    <row r="953" customFormat="1" spans="1:8">
      <c r="A953" s="2">
        <v>46178</v>
      </c>
      <c r="B953" s="3">
        <v>1609592</v>
      </c>
      <c r="C953" s="3" t="s">
        <v>151</v>
      </c>
      <c r="D953" s="4">
        <v>20329846</v>
      </c>
      <c r="E953" s="3" t="s">
        <v>90</v>
      </c>
      <c r="F953" s="4">
        <v>1</v>
      </c>
      <c r="G953" s="5">
        <v>13.5</v>
      </c>
      <c r="H953" s="5">
        <f t="shared" si="14"/>
        <v>13.5</v>
      </c>
    </row>
    <row r="954" customFormat="1" spans="1:8">
      <c r="A954" s="2">
        <v>46178</v>
      </c>
      <c r="B954" s="3">
        <v>1609592</v>
      </c>
      <c r="C954" s="3" t="s">
        <v>151</v>
      </c>
      <c r="D954" s="4">
        <v>20318236</v>
      </c>
      <c r="E954" s="3" t="s">
        <v>91</v>
      </c>
      <c r="F954" s="4">
        <v>1</v>
      </c>
      <c r="G954" s="5">
        <v>11</v>
      </c>
      <c r="H954" s="5">
        <f t="shared" si="14"/>
        <v>11</v>
      </c>
    </row>
    <row r="955" customFormat="1" spans="1:8">
      <c r="A955" s="2">
        <v>46178</v>
      </c>
      <c r="B955" s="3">
        <v>1609592</v>
      </c>
      <c r="C955" s="3" t="s">
        <v>151</v>
      </c>
      <c r="D955" s="4">
        <v>20361153</v>
      </c>
      <c r="E955" s="3" t="s">
        <v>123</v>
      </c>
      <c r="F955" s="4">
        <v>1</v>
      </c>
      <c r="G955" s="5">
        <v>13.5</v>
      </c>
      <c r="H955" s="5">
        <f t="shared" si="14"/>
        <v>13.5</v>
      </c>
    </row>
    <row r="956" customFormat="1" spans="1:8">
      <c r="A956" s="2">
        <v>46178</v>
      </c>
      <c r="B956" s="3">
        <v>1609592</v>
      </c>
      <c r="C956" s="3" t="s">
        <v>151</v>
      </c>
      <c r="D956" s="4">
        <v>20329847</v>
      </c>
      <c r="E956" s="3" t="s">
        <v>129</v>
      </c>
      <c r="F956" s="4">
        <v>1</v>
      </c>
      <c r="G956" s="5">
        <v>13</v>
      </c>
      <c r="H956" s="5">
        <f t="shared" si="14"/>
        <v>13</v>
      </c>
    </row>
    <row r="957" customFormat="1" spans="1:8">
      <c r="A957" s="2">
        <v>46178</v>
      </c>
      <c r="B957" s="3">
        <v>1609592</v>
      </c>
      <c r="C957" s="3" t="s">
        <v>151</v>
      </c>
      <c r="D957" s="4">
        <v>20318231</v>
      </c>
      <c r="E957" s="3" t="s">
        <v>130</v>
      </c>
      <c r="F957" s="4">
        <v>6</v>
      </c>
      <c r="G957" s="5">
        <v>16.5</v>
      </c>
      <c r="H957" s="5">
        <f t="shared" si="14"/>
        <v>99</v>
      </c>
    </row>
    <row r="958" customFormat="1" spans="1:8">
      <c r="A958" s="2">
        <v>46178</v>
      </c>
      <c r="B958" s="3">
        <v>1609592</v>
      </c>
      <c r="C958" s="3" t="s">
        <v>155</v>
      </c>
      <c r="D958" s="4">
        <v>20322228</v>
      </c>
      <c r="E958" s="3" t="s">
        <v>74</v>
      </c>
      <c r="F958" s="4">
        <v>1</v>
      </c>
      <c r="G958" s="5">
        <v>15</v>
      </c>
      <c r="H958" s="5">
        <f t="shared" si="14"/>
        <v>15</v>
      </c>
    </row>
    <row r="959" customFormat="1" spans="1:8">
      <c r="A959" s="2">
        <v>46178</v>
      </c>
      <c r="B959" s="3">
        <v>1609592</v>
      </c>
      <c r="C959" s="3" t="s">
        <v>152</v>
      </c>
      <c r="D959" s="4">
        <v>20351811</v>
      </c>
      <c r="E959" s="3" t="s">
        <v>110</v>
      </c>
      <c r="F959" s="4">
        <v>2</v>
      </c>
      <c r="G959" s="5">
        <v>55</v>
      </c>
      <c r="H959" s="5">
        <f t="shared" si="14"/>
        <v>110</v>
      </c>
    </row>
    <row r="960" customFormat="1" spans="1:8">
      <c r="A960" s="2">
        <v>46178</v>
      </c>
      <c r="B960" s="3">
        <v>1609592</v>
      </c>
      <c r="C960" s="3" t="s">
        <v>153</v>
      </c>
      <c r="D960" s="4">
        <v>20321257</v>
      </c>
      <c r="E960" s="3" t="s">
        <v>68</v>
      </c>
      <c r="F960" s="4">
        <v>4</v>
      </c>
      <c r="G960" s="5">
        <v>16.5</v>
      </c>
      <c r="H960" s="5">
        <f t="shared" si="14"/>
        <v>66</v>
      </c>
    </row>
    <row r="961" customFormat="1" spans="1:8">
      <c r="A961" s="14">
        <v>46178</v>
      </c>
      <c r="B961" s="15">
        <v>1609592</v>
      </c>
      <c r="C961" s="15" t="s">
        <v>153</v>
      </c>
      <c r="D961" s="16">
        <v>20014827</v>
      </c>
      <c r="E961" s="15" t="s">
        <v>84</v>
      </c>
      <c r="F961" s="16">
        <v>3</v>
      </c>
      <c r="G961" s="17">
        <v>16.5</v>
      </c>
      <c r="H961" s="17">
        <f t="shared" si="14"/>
        <v>49.5</v>
      </c>
    </row>
    <row r="962" customFormat="1" spans="1:8">
      <c r="A962" s="14">
        <v>46178</v>
      </c>
      <c r="B962" s="15">
        <v>1609592</v>
      </c>
      <c r="C962" s="15" t="s">
        <v>153</v>
      </c>
      <c r="D962" s="16">
        <v>20014824</v>
      </c>
      <c r="E962" s="15" t="s">
        <v>85</v>
      </c>
      <c r="F962" s="16">
        <v>3</v>
      </c>
      <c r="G962" s="17">
        <v>16.5</v>
      </c>
      <c r="H962" s="17">
        <f t="shared" ref="H962:H1025" si="15">G962*F962</f>
        <v>49.5</v>
      </c>
    </row>
    <row r="963" customFormat="1" spans="1:8">
      <c r="A963" s="2">
        <v>46178</v>
      </c>
      <c r="B963" s="3">
        <v>1609592</v>
      </c>
      <c r="C963" s="3" t="s">
        <v>153</v>
      </c>
      <c r="D963" s="4">
        <v>20321688</v>
      </c>
      <c r="E963" s="3" t="s">
        <v>87</v>
      </c>
      <c r="F963" s="4">
        <v>1</v>
      </c>
      <c r="G963" s="5">
        <v>16.5</v>
      </c>
      <c r="H963" s="5">
        <f t="shared" si="15"/>
        <v>16.5</v>
      </c>
    </row>
    <row r="964" customFormat="1" spans="1:8">
      <c r="A964" s="2">
        <v>46178</v>
      </c>
      <c r="B964" s="3">
        <v>1609592</v>
      </c>
      <c r="C964" s="3" t="s">
        <v>153</v>
      </c>
      <c r="D964" s="4">
        <v>20321468</v>
      </c>
      <c r="E964" s="3" t="s">
        <v>89</v>
      </c>
      <c r="F964" s="4">
        <v>1</v>
      </c>
      <c r="G964" s="5">
        <v>16.5</v>
      </c>
      <c r="H964" s="5">
        <f t="shared" si="15"/>
        <v>16.5</v>
      </c>
    </row>
    <row r="965" customFormat="1" spans="1:8">
      <c r="A965" s="2">
        <v>46178</v>
      </c>
      <c r="B965" s="3">
        <v>1609592</v>
      </c>
      <c r="C965" s="3" t="s">
        <v>153</v>
      </c>
      <c r="D965" s="4">
        <v>20318197</v>
      </c>
      <c r="E965" s="3" t="s">
        <v>119</v>
      </c>
      <c r="F965" s="4">
        <v>1</v>
      </c>
      <c r="G965" s="5">
        <v>16.5</v>
      </c>
      <c r="H965" s="5">
        <f t="shared" si="15"/>
        <v>16.5</v>
      </c>
    </row>
    <row r="966" customFormat="1" spans="1:8">
      <c r="A966" s="2">
        <v>46178</v>
      </c>
      <c r="B966" s="3">
        <v>1609592</v>
      </c>
      <c r="C966" s="3" t="s">
        <v>153</v>
      </c>
      <c r="D966" s="4">
        <v>20318393</v>
      </c>
      <c r="E966" s="3" t="s">
        <v>140</v>
      </c>
      <c r="F966" s="4">
        <v>1</v>
      </c>
      <c r="G966" s="5">
        <v>16.5</v>
      </c>
      <c r="H966" s="5">
        <f t="shared" si="15"/>
        <v>16.5</v>
      </c>
    </row>
    <row r="967" customFormat="1" spans="1:8">
      <c r="A967" s="2">
        <v>46178</v>
      </c>
      <c r="B967" s="3">
        <v>1609725</v>
      </c>
      <c r="C967" s="3" t="s">
        <v>150</v>
      </c>
      <c r="D967" s="4">
        <v>20328374</v>
      </c>
      <c r="E967" s="3" t="s">
        <v>72</v>
      </c>
      <c r="F967" s="4">
        <v>1</v>
      </c>
      <c r="G967" s="5">
        <v>264</v>
      </c>
      <c r="H967" s="5">
        <f t="shared" si="15"/>
        <v>264</v>
      </c>
    </row>
    <row r="968" customFormat="1" spans="1:8">
      <c r="A968" s="2">
        <v>46178</v>
      </c>
      <c r="B968" s="3">
        <v>1609725</v>
      </c>
      <c r="C968" s="3" t="s">
        <v>150</v>
      </c>
      <c r="D968" s="4">
        <v>20326613</v>
      </c>
      <c r="E968" s="3" t="s">
        <v>78</v>
      </c>
      <c r="F968" s="4">
        <v>3</v>
      </c>
      <c r="G968" s="5">
        <v>88</v>
      </c>
      <c r="H968" s="5">
        <f t="shared" si="15"/>
        <v>264</v>
      </c>
    </row>
    <row r="969" customFormat="1" spans="1:8">
      <c r="A969" s="2">
        <v>46178</v>
      </c>
      <c r="B969" s="3">
        <v>1609725</v>
      </c>
      <c r="C969" s="3" t="s">
        <v>150</v>
      </c>
      <c r="D969" s="4">
        <v>20318156</v>
      </c>
      <c r="E969" s="3" t="s">
        <v>112</v>
      </c>
      <c r="F969" s="4">
        <v>1</v>
      </c>
      <c r="G969" s="5">
        <v>154</v>
      </c>
      <c r="H969" s="5">
        <f t="shared" si="15"/>
        <v>154</v>
      </c>
    </row>
    <row r="970" customFormat="1" spans="1:8">
      <c r="A970" s="2">
        <v>46178</v>
      </c>
      <c r="B970" s="3">
        <v>1609725</v>
      </c>
      <c r="C970" s="3" t="s">
        <v>151</v>
      </c>
      <c r="D970" s="4">
        <v>20318257</v>
      </c>
      <c r="E970" s="3" t="s">
        <v>86</v>
      </c>
      <c r="F970" s="4">
        <v>1</v>
      </c>
      <c r="G970" s="5">
        <v>8</v>
      </c>
      <c r="H970" s="5">
        <f t="shared" si="15"/>
        <v>8</v>
      </c>
    </row>
    <row r="971" customFormat="1" spans="1:8">
      <c r="A971" s="2">
        <v>46178</v>
      </c>
      <c r="B971" s="3">
        <v>1609725</v>
      </c>
      <c r="C971" s="3" t="s">
        <v>151</v>
      </c>
      <c r="D971" s="4">
        <v>20329846</v>
      </c>
      <c r="E971" s="3" t="s">
        <v>90</v>
      </c>
      <c r="F971" s="4">
        <v>1</v>
      </c>
      <c r="G971" s="5">
        <v>13.5</v>
      </c>
      <c r="H971" s="5">
        <f t="shared" si="15"/>
        <v>13.5</v>
      </c>
    </row>
    <row r="972" customFormat="1" spans="1:8">
      <c r="A972" s="2">
        <v>46178</v>
      </c>
      <c r="B972" s="3">
        <v>1609725</v>
      </c>
      <c r="C972" s="3" t="s">
        <v>151</v>
      </c>
      <c r="D972" s="4">
        <v>20351064</v>
      </c>
      <c r="E972" s="3" t="s">
        <v>99</v>
      </c>
      <c r="F972" s="4">
        <v>3</v>
      </c>
      <c r="G972" s="5">
        <v>13.5</v>
      </c>
      <c r="H972" s="5">
        <f t="shared" si="15"/>
        <v>40.5</v>
      </c>
    </row>
    <row r="973" customFormat="1" spans="1:8">
      <c r="A973" s="2">
        <v>46178</v>
      </c>
      <c r="B973" s="3">
        <v>1609725</v>
      </c>
      <c r="C973" s="3" t="s">
        <v>151</v>
      </c>
      <c r="D973" s="4">
        <v>20318250</v>
      </c>
      <c r="E973" s="3" t="s">
        <v>113</v>
      </c>
      <c r="F973" s="4">
        <v>3</v>
      </c>
      <c r="G973" s="5">
        <v>8</v>
      </c>
      <c r="H973" s="5">
        <f t="shared" si="15"/>
        <v>24</v>
      </c>
    </row>
    <row r="974" customFormat="1" spans="1:8">
      <c r="A974" s="2">
        <v>46178</v>
      </c>
      <c r="B974" s="3">
        <v>1609725</v>
      </c>
      <c r="C974" s="3" t="s">
        <v>151</v>
      </c>
      <c r="D974" s="4">
        <v>20331668</v>
      </c>
      <c r="E974" s="3" t="s">
        <v>115</v>
      </c>
      <c r="F974" s="4">
        <v>2</v>
      </c>
      <c r="G974" s="5">
        <v>8</v>
      </c>
      <c r="H974" s="5">
        <f t="shared" si="15"/>
        <v>16</v>
      </c>
    </row>
    <row r="975" customFormat="1" spans="1:8">
      <c r="A975" s="2">
        <v>46178</v>
      </c>
      <c r="B975" s="3">
        <v>1609725</v>
      </c>
      <c r="C975" s="3" t="s">
        <v>151</v>
      </c>
      <c r="D975" s="4">
        <v>20333778</v>
      </c>
      <c r="E975" s="3" t="s">
        <v>116</v>
      </c>
      <c r="F975" s="4">
        <v>1</v>
      </c>
      <c r="G975" s="5">
        <v>16.5</v>
      </c>
      <c r="H975" s="5">
        <f t="shared" si="15"/>
        <v>16.5</v>
      </c>
    </row>
    <row r="976" customFormat="1" spans="1:8">
      <c r="A976" s="2">
        <v>46178</v>
      </c>
      <c r="B976" s="3">
        <v>1609725</v>
      </c>
      <c r="C976" s="3" t="s">
        <v>151</v>
      </c>
      <c r="D976" s="4">
        <v>20329847</v>
      </c>
      <c r="E976" s="3" t="s">
        <v>129</v>
      </c>
      <c r="F976" s="4">
        <v>2</v>
      </c>
      <c r="G976" s="5">
        <v>13</v>
      </c>
      <c r="H976" s="5">
        <f t="shared" si="15"/>
        <v>26</v>
      </c>
    </row>
    <row r="977" customFormat="1" spans="1:8">
      <c r="A977" s="2">
        <v>46178</v>
      </c>
      <c r="B977" s="3">
        <v>1609725</v>
      </c>
      <c r="C977" s="3" t="s">
        <v>151</v>
      </c>
      <c r="D977" s="4">
        <v>20318231</v>
      </c>
      <c r="E977" s="3" t="s">
        <v>130</v>
      </c>
      <c r="F977" s="4">
        <v>1</v>
      </c>
      <c r="G977" s="5">
        <v>16.5</v>
      </c>
      <c r="H977" s="5">
        <f t="shared" si="15"/>
        <v>16.5</v>
      </c>
    </row>
    <row r="978" customFormat="1" spans="1:8">
      <c r="A978" s="2">
        <v>46178</v>
      </c>
      <c r="B978" s="3">
        <v>1609725</v>
      </c>
      <c r="C978" s="3" t="s">
        <v>151</v>
      </c>
      <c r="D978" s="4">
        <v>20333142</v>
      </c>
      <c r="E978" s="3" t="s">
        <v>138</v>
      </c>
      <c r="F978" s="4">
        <v>1</v>
      </c>
      <c r="G978" s="5">
        <v>22</v>
      </c>
      <c r="H978" s="5">
        <f t="shared" si="15"/>
        <v>22</v>
      </c>
    </row>
    <row r="979" customFormat="1" spans="1:8">
      <c r="A979" s="2">
        <v>46178</v>
      </c>
      <c r="B979" s="3">
        <v>1609725</v>
      </c>
      <c r="C979" s="3" t="s">
        <v>151</v>
      </c>
      <c r="D979" s="4">
        <v>20318254</v>
      </c>
      <c r="E979" s="3" t="s">
        <v>139</v>
      </c>
      <c r="F979" s="4">
        <v>2</v>
      </c>
      <c r="G979" s="5">
        <v>16.5</v>
      </c>
      <c r="H979" s="5">
        <f t="shared" si="15"/>
        <v>33</v>
      </c>
    </row>
    <row r="980" customFormat="1" spans="1:8">
      <c r="A980" s="2">
        <v>46178</v>
      </c>
      <c r="B980" s="3">
        <v>1609725</v>
      </c>
      <c r="C980" s="3" t="s">
        <v>152</v>
      </c>
      <c r="D980" s="4">
        <v>20351811</v>
      </c>
      <c r="E980" s="3" t="s">
        <v>110</v>
      </c>
      <c r="F980" s="4">
        <v>1</v>
      </c>
      <c r="G980" s="5">
        <v>55</v>
      </c>
      <c r="H980" s="5">
        <f t="shared" si="15"/>
        <v>55</v>
      </c>
    </row>
    <row r="981" customFormat="1" spans="1:8">
      <c r="A981" s="2">
        <v>46178</v>
      </c>
      <c r="B981" s="3">
        <v>1609725</v>
      </c>
      <c r="C981" s="3" t="s">
        <v>153</v>
      </c>
      <c r="D981" s="4">
        <v>20321257</v>
      </c>
      <c r="E981" s="3" t="s">
        <v>68</v>
      </c>
      <c r="F981" s="4">
        <v>1</v>
      </c>
      <c r="G981" s="5">
        <v>16.5</v>
      </c>
      <c r="H981" s="5">
        <f t="shared" si="15"/>
        <v>16.5</v>
      </c>
    </row>
    <row r="982" customFormat="1" spans="1:8">
      <c r="A982" s="2">
        <v>46178</v>
      </c>
      <c r="B982" s="3">
        <v>1609725</v>
      </c>
      <c r="C982" s="3" t="s">
        <v>153</v>
      </c>
      <c r="D982" s="4">
        <v>20329844</v>
      </c>
      <c r="E982" s="3" t="s">
        <v>70</v>
      </c>
      <c r="F982" s="4">
        <v>1</v>
      </c>
      <c r="G982" s="5">
        <v>16.5</v>
      </c>
      <c r="H982" s="5">
        <f t="shared" si="15"/>
        <v>16.5</v>
      </c>
    </row>
    <row r="983" customFormat="1" spans="1:8">
      <c r="A983" s="2">
        <v>46178</v>
      </c>
      <c r="B983" s="3">
        <v>1609725</v>
      </c>
      <c r="C983" s="3" t="s">
        <v>153</v>
      </c>
      <c r="D983" s="4">
        <v>20318262</v>
      </c>
      <c r="E983" s="3" t="s">
        <v>77</v>
      </c>
      <c r="F983" s="4">
        <v>2</v>
      </c>
      <c r="G983" s="5">
        <v>16.5</v>
      </c>
      <c r="H983" s="5">
        <f t="shared" si="15"/>
        <v>33</v>
      </c>
    </row>
    <row r="984" customFormat="1" spans="1:8">
      <c r="A984" s="14">
        <v>46178</v>
      </c>
      <c r="B984" s="15">
        <v>1609725</v>
      </c>
      <c r="C984" s="15" t="s">
        <v>153</v>
      </c>
      <c r="D984" s="16">
        <v>20014827</v>
      </c>
      <c r="E984" s="15" t="s">
        <v>84</v>
      </c>
      <c r="F984" s="16">
        <v>1</v>
      </c>
      <c r="G984" s="17">
        <v>16.5</v>
      </c>
      <c r="H984" s="17">
        <f t="shared" si="15"/>
        <v>16.5</v>
      </c>
    </row>
    <row r="985" customFormat="1" spans="1:8">
      <c r="A985" s="14">
        <v>46178</v>
      </c>
      <c r="B985" s="15">
        <v>1609725</v>
      </c>
      <c r="C985" s="15" t="s">
        <v>153</v>
      </c>
      <c r="D985" s="16">
        <v>20014824</v>
      </c>
      <c r="E985" s="15" t="s">
        <v>85</v>
      </c>
      <c r="F985" s="16">
        <v>1</v>
      </c>
      <c r="G985" s="17">
        <v>16.5</v>
      </c>
      <c r="H985" s="17">
        <f t="shared" si="15"/>
        <v>16.5</v>
      </c>
    </row>
    <row r="986" customFormat="1" spans="1:8">
      <c r="A986" s="2">
        <v>46178</v>
      </c>
      <c r="B986" s="3">
        <v>1609725</v>
      </c>
      <c r="C986" s="3" t="s">
        <v>153</v>
      </c>
      <c r="D986" s="4">
        <v>20318197</v>
      </c>
      <c r="E986" s="3" t="s">
        <v>119</v>
      </c>
      <c r="F986" s="4">
        <v>1</v>
      </c>
      <c r="G986" s="5">
        <v>16.5</v>
      </c>
      <c r="H986" s="5">
        <f t="shared" si="15"/>
        <v>16.5</v>
      </c>
    </row>
    <row r="987" customFormat="1" spans="1:8">
      <c r="A987" s="2">
        <v>46178</v>
      </c>
      <c r="B987" s="3">
        <v>1609742</v>
      </c>
      <c r="C987" s="3" t="s">
        <v>150</v>
      </c>
      <c r="D987" s="4">
        <v>20326613</v>
      </c>
      <c r="E987" s="3" t="s">
        <v>78</v>
      </c>
      <c r="F987" s="4">
        <v>1</v>
      </c>
      <c r="G987" s="5">
        <v>88</v>
      </c>
      <c r="H987" s="5">
        <f t="shared" si="15"/>
        <v>88</v>
      </c>
    </row>
    <row r="988" customFormat="1" spans="1:8">
      <c r="A988" s="2">
        <v>46178</v>
      </c>
      <c r="B988" s="3">
        <v>1609742</v>
      </c>
      <c r="C988" s="3" t="s">
        <v>154</v>
      </c>
      <c r="D988" s="4">
        <v>20328192</v>
      </c>
      <c r="E988" s="3" t="s">
        <v>75</v>
      </c>
      <c r="F988" s="4">
        <v>1</v>
      </c>
      <c r="G988" s="5">
        <v>38.5</v>
      </c>
      <c r="H988" s="5">
        <f t="shared" si="15"/>
        <v>38.5</v>
      </c>
    </row>
    <row r="989" customFormat="1" spans="1:8">
      <c r="A989" s="2">
        <v>46178</v>
      </c>
      <c r="B989" s="3">
        <v>1609742</v>
      </c>
      <c r="C989" s="3" t="s">
        <v>156</v>
      </c>
      <c r="D989" s="4">
        <v>20322235</v>
      </c>
      <c r="E989" s="3" t="s">
        <v>111</v>
      </c>
      <c r="F989" s="4">
        <v>7</v>
      </c>
      <c r="G989" s="5">
        <v>2.5</v>
      </c>
      <c r="H989" s="5">
        <f t="shared" si="15"/>
        <v>17.5</v>
      </c>
    </row>
    <row r="990" customFormat="1" spans="1:8">
      <c r="A990" s="2">
        <v>46178</v>
      </c>
      <c r="B990" s="3">
        <v>1609742</v>
      </c>
      <c r="C990" s="3" t="s">
        <v>152</v>
      </c>
      <c r="D990" s="4">
        <v>20394933</v>
      </c>
      <c r="E990" s="3" t="s">
        <v>105</v>
      </c>
      <c r="F990" s="4">
        <v>1</v>
      </c>
      <c r="G990" s="5">
        <v>66</v>
      </c>
      <c r="H990" s="5">
        <f t="shared" si="15"/>
        <v>66</v>
      </c>
    </row>
    <row r="991" customFormat="1" spans="1:8">
      <c r="A991" s="2">
        <v>46178</v>
      </c>
      <c r="B991" s="3">
        <v>1609742</v>
      </c>
      <c r="C991" s="3" t="s">
        <v>152</v>
      </c>
      <c r="D991" s="4">
        <v>20351811</v>
      </c>
      <c r="E991" s="3" t="s">
        <v>110</v>
      </c>
      <c r="F991" s="4">
        <v>2</v>
      </c>
      <c r="G991" s="5">
        <v>55</v>
      </c>
      <c r="H991" s="5">
        <f t="shared" si="15"/>
        <v>110</v>
      </c>
    </row>
    <row r="992" customFormat="1" spans="1:8">
      <c r="A992" s="2">
        <v>46178</v>
      </c>
      <c r="B992" s="3">
        <v>1609742</v>
      </c>
      <c r="C992" s="3" t="s">
        <v>153</v>
      </c>
      <c r="D992" s="4">
        <v>20318262</v>
      </c>
      <c r="E992" s="3" t="s">
        <v>77</v>
      </c>
      <c r="F992" s="4">
        <v>1</v>
      </c>
      <c r="G992" s="5">
        <v>16.5</v>
      </c>
      <c r="H992" s="5">
        <f t="shared" si="15"/>
        <v>16.5</v>
      </c>
    </row>
    <row r="993" customFormat="1" spans="1:8">
      <c r="A993" s="2">
        <v>46179</v>
      </c>
      <c r="B993" s="3">
        <v>1609936</v>
      </c>
      <c r="C993" s="3" t="s">
        <v>150</v>
      </c>
      <c r="D993" s="4">
        <v>20326613</v>
      </c>
      <c r="E993" s="3" t="s">
        <v>78</v>
      </c>
      <c r="F993" s="4">
        <v>2</v>
      </c>
      <c r="G993" s="5">
        <v>88</v>
      </c>
      <c r="H993" s="5">
        <f t="shared" si="15"/>
        <v>176</v>
      </c>
    </row>
    <row r="994" customFormat="1" spans="1:8">
      <c r="A994" s="2">
        <v>46179</v>
      </c>
      <c r="B994" s="3">
        <v>1609936</v>
      </c>
      <c r="C994" s="3" t="s">
        <v>150</v>
      </c>
      <c r="D994" s="4">
        <v>20312951</v>
      </c>
      <c r="E994" s="3" t="s">
        <v>121</v>
      </c>
      <c r="F994" s="4">
        <v>1</v>
      </c>
      <c r="G994" s="5">
        <v>165</v>
      </c>
      <c r="H994" s="5">
        <f t="shared" si="15"/>
        <v>165</v>
      </c>
    </row>
    <row r="995" customFormat="1" spans="1:8">
      <c r="A995" s="2">
        <v>46179</v>
      </c>
      <c r="B995" s="3">
        <v>1609936</v>
      </c>
      <c r="C995" s="3" t="s">
        <v>151</v>
      </c>
      <c r="D995" s="4">
        <v>20421966</v>
      </c>
      <c r="E995" s="3" t="s">
        <v>65</v>
      </c>
      <c r="F995" s="4">
        <v>1</v>
      </c>
      <c r="G995" s="5">
        <v>8</v>
      </c>
      <c r="H995" s="5">
        <f t="shared" si="15"/>
        <v>8</v>
      </c>
    </row>
    <row r="996" customFormat="1" spans="1:8">
      <c r="A996" s="2">
        <v>46179</v>
      </c>
      <c r="B996" s="3">
        <v>1609936</v>
      </c>
      <c r="C996" s="3" t="s">
        <v>151</v>
      </c>
      <c r="D996" s="4">
        <v>20329846</v>
      </c>
      <c r="E996" s="3" t="s">
        <v>90</v>
      </c>
      <c r="F996" s="4">
        <v>1</v>
      </c>
      <c r="G996" s="5">
        <v>13.5</v>
      </c>
      <c r="H996" s="5">
        <f t="shared" si="15"/>
        <v>13.5</v>
      </c>
    </row>
    <row r="997" customFormat="1" spans="1:8">
      <c r="A997" s="2">
        <v>46179</v>
      </c>
      <c r="B997" s="3">
        <v>1609936</v>
      </c>
      <c r="C997" s="3" t="s">
        <v>151</v>
      </c>
      <c r="D997" s="4">
        <v>20333778</v>
      </c>
      <c r="E997" s="3" t="s">
        <v>116</v>
      </c>
      <c r="F997" s="4">
        <v>1</v>
      </c>
      <c r="G997" s="5">
        <v>16.5</v>
      </c>
      <c r="H997" s="5">
        <f t="shared" si="15"/>
        <v>16.5</v>
      </c>
    </row>
    <row r="998" customFormat="1" spans="1:8">
      <c r="A998" s="2">
        <v>46179</v>
      </c>
      <c r="B998" s="3">
        <v>1609936</v>
      </c>
      <c r="C998" s="3" t="s">
        <v>151</v>
      </c>
      <c r="D998" s="4">
        <v>20329847</v>
      </c>
      <c r="E998" s="3" t="s">
        <v>129</v>
      </c>
      <c r="F998" s="4">
        <v>1</v>
      </c>
      <c r="G998" s="5">
        <v>13</v>
      </c>
      <c r="H998" s="5">
        <f t="shared" si="15"/>
        <v>13</v>
      </c>
    </row>
    <row r="999" customFormat="1" spans="1:8">
      <c r="A999" s="2">
        <v>46179</v>
      </c>
      <c r="B999" s="3">
        <v>1609936</v>
      </c>
      <c r="C999" s="3" t="s">
        <v>152</v>
      </c>
      <c r="D999" s="4">
        <v>20351811</v>
      </c>
      <c r="E999" s="3" t="s">
        <v>110</v>
      </c>
      <c r="F999" s="4">
        <v>2</v>
      </c>
      <c r="G999" s="5">
        <v>55</v>
      </c>
      <c r="H999" s="5">
        <f t="shared" si="15"/>
        <v>110</v>
      </c>
    </row>
    <row r="1000" customFormat="1" spans="1:8">
      <c r="A1000" s="2">
        <v>46179</v>
      </c>
      <c r="B1000" s="3">
        <v>1609936</v>
      </c>
      <c r="C1000" s="3" t="s">
        <v>153</v>
      </c>
      <c r="D1000" s="4">
        <v>20321257</v>
      </c>
      <c r="E1000" s="3" t="s">
        <v>68</v>
      </c>
      <c r="F1000" s="4">
        <v>4</v>
      </c>
      <c r="G1000" s="5">
        <v>16.5</v>
      </c>
      <c r="H1000" s="5">
        <f t="shared" si="15"/>
        <v>66</v>
      </c>
    </row>
    <row r="1001" customFormat="1" spans="1:8">
      <c r="A1001" s="2">
        <v>46179</v>
      </c>
      <c r="B1001" s="3">
        <v>1609981</v>
      </c>
      <c r="C1001" s="3" t="s">
        <v>150</v>
      </c>
      <c r="D1001" s="4">
        <v>20328374</v>
      </c>
      <c r="E1001" s="3" t="s">
        <v>72</v>
      </c>
      <c r="F1001" s="4">
        <v>1</v>
      </c>
      <c r="G1001" s="5">
        <v>264</v>
      </c>
      <c r="H1001" s="5">
        <f t="shared" si="15"/>
        <v>264</v>
      </c>
    </row>
    <row r="1002" customFormat="1" spans="1:8">
      <c r="A1002" s="2">
        <v>46179</v>
      </c>
      <c r="B1002" s="3">
        <v>1609981</v>
      </c>
      <c r="C1002" s="3" t="s">
        <v>150</v>
      </c>
      <c r="D1002" s="4">
        <v>20326613</v>
      </c>
      <c r="E1002" s="3" t="s">
        <v>78</v>
      </c>
      <c r="F1002" s="4">
        <v>8</v>
      </c>
      <c r="G1002" s="5">
        <v>88</v>
      </c>
      <c r="H1002" s="5">
        <f t="shared" si="15"/>
        <v>704</v>
      </c>
    </row>
    <row r="1003" customFormat="1" spans="1:8">
      <c r="A1003" s="2">
        <v>46179</v>
      </c>
      <c r="B1003" s="3">
        <v>1609981</v>
      </c>
      <c r="C1003" s="3" t="s">
        <v>150</v>
      </c>
      <c r="D1003" s="4">
        <v>20318156</v>
      </c>
      <c r="E1003" s="3" t="s">
        <v>112</v>
      </c>
      <c r="F1003" s="4">
        <v>1</v>
      </c>
      <c r="G1003" s="5">
        <v>154</v>
      </c>
      <c r="H1003" s="5">
        <f t="shared" si="15"/>
        <v>154</v>
      </c>
    </row>
    <row r="1004" customFormat="1" spans="1:8">
      <c r="A1004" s="2">
        <v>46179</v>
      </c>
      <c r="B1004" s="3">
        <v>1609981</v>
      </c>
      <c r="C1004" s="3" t="s">
        <v>151</v>
      </c>
      <c r="D1004" s="4">
        <v>20318257</v>
      </c>
      <c r="E1004" s="3" t="s">
        <v>86</v>
      </c>
      <c r="F1004" s="4">
        <v>1</v>
      </c>
      <c r="G1004" s="5">
        <v>8</v>
      </c>
      <c r="H1004" s="5">
        <f t="shared" si="15"/>
        <v>8</v>
      </c>
    </row>
    <row r="1005" customFormat="1" spans="1:8">
      <c r="A1005" s="2">
        <v>46179</v>
      </c>
      <c r="B1005" s="3">
        <v>1609981</v>
      </c>
      <c r="C1005" s="3" t="s">
        <v>151</v>
      </c>
      <c r="D1005" s="4">
        <v>20329846</v>
      </c>
      <c r="E1005" s="3" t="s">
        <v>90</v>
      </c>
      <c r="F1005" s="4">
        <v>2</v>
      </c>
      <c r="G1005" s="5">
        <v>13.5</v>
      </c>
      <c r="H1005" s="5">
        <f t="shared" si="15"/>
        <v>27</v>
      </c>
    </row>
    <row r="1006" customFormat="1" spans="1:8">
      <c r="A1006" s="2">
        <v>46179</v>
      </c>
      <c r="B1006" s="3">
        <v>1609981</v>
      </c>
      <c r="C1006" s="3" t="s">
        <v>151</v>
      </c>
      <c r="D1006" s="4">
        <v>20333778</v>
      </c>
      <c r="E1006" s="3" t="s">
        <v>116</v>
      </c>
      <c r="F1006" s="4">
        <v>1</v>
      </c>
      <c r="G1006" s="5">
        <v>16.5</v>
      </c>
      <c r="H1006" s="5">
        <f t="shared" si="15"/>
        <v>16.5</v>
      </c>
    </row>
    <row r="1007" customFormat="1" spans="1:8">
      <c r="A1007" s="2">
        <v>46179</v>
      </c>
      <c r="B1007" s="3">
        <v>1609981</v>
      </c>
      <c r="C1007" s="3" t="s">
        <v>151</v>
      </c>
      <c r="D1007" s="4">
        <v>20329847</v>
      </c>
      <c r="E1007" s="3" t="s">
        <v>129</v>
      </c>
      <c r="F1007" s="4">
        <v>4</v>
      </c>
      <c r="G1007" s="5">
        <v>13</v>
      </c>
      <c r="H1007" s="5">
        <f t="shared" si="15"/>
        <v>52</v>
      </c>
    </row>
    <row r="1008" customFormat="1" spans="1:8">
      <c r="A1008" s="2">
        <v>46179</v>
      </c>
      <c r="B1008" s="3">
        <v>1609981</v>
      </c>
      <c r="C1008" s="3" t="s">
        <v>151</v>
      </c>
      <c r="D1008" s="4">
        <v>20318231</v>
      </c>
      <c r="E1008" s="3" t="s">
        <v>130</v>
      </c>
      <c r="F1008" s="4">
        <v>2</v>
      </c>
      <c r="G1008" s="5">
        <v>16.5</v>
      </c>
      <c r="H1008" s="5">
        <f t="shared" si="15"/>
        <v>33</v>
      </c>
    </row>
    <row r="1009" customFormat="1" spans="1:8">
      <c r="A1009" s="2">
        <v>46179</v>
      </c>
      <c r="B1009" s="3">
        <v>1609981</v>
      </c>
      <c r="C1009" s="3" t="s">
        <v>151</v>
      </c>
      <c r="D1009" s="4">
        <v>20331472</v>
      </c>
      <c r="E1009" s="3" t="s">
        <v>141</v>
      </c>
      <c r="F1009" s="4">
        <v>1</v>
      </c>
      <c r="G1009" s="5">
        <v>8</v>
      </c>
      <c r="H1009" s="5">
        <f t="shared" si="15"/>
        <v>8</v>
      </c>
    </row>
    <row r="1010" customFormat="1" spans="1:8">
      <c r="A1010" s="2">
        <v>46179</v>
      </c>
      <c r="B1010" s="3">
        <v>1609981</v>
      </c>
      <c r="C1010" s="3" t="s">
        <v>152</v>
      </c>
      <c r="D1010" s="4">
        <v>20351811</v>
      </c>
      <c r="E1010" s="3" t="s">
        <v>110</v>
      </c>
      <c r="F1010" s="4">
        <v>1</v>
      </c>
      <c r="G1010" s="5">
        <v>55</v>
      </c>
      <c r="H1010" s="5">
        <f t="shared" si="15"/>
        <v>55</v>
      </c>
    </row>
    <row r="1011" customFormat="1" spans="1:8">
      <c r="A1011" s="2">
        <v>46179</v>
      </c>
      <c r="B1011" s="3">
        <v>1609981</v>
      </c>
      <c r="C1011" s="3" t="s">
        <v>153</v>
      </c>
      <c r="D1011" s="4">
        <v>20321257</v>
      </c>
      <c r="E1011" s="3" t="s">
        <v>68</v>
      </c>
      <c r="F1011" s="4">
        <v>3</v>
      </c>
      <c r="G1011" s="5">
        <v>16.5</v>
      </c>
      <c r="H1011" s="5">
        <f t="shared" si="15"/>
        <v>49.5</v>
      </c>
    </row>
    <row r="1012" customFormat="1" spans="1:8">
      <c r="A1012" s="14">
        <v>46179</v>
      </c>
      <c r="B1012" s="15">
        <v>1609981</v>
      </c>
      <c r="C1012" s="15" t="s">
        <v>153</v>
      </c>
      <c r="D1012" s="16">
        <v>20318229</v>
      </c>
      <c r="E1012" s="15" t="s">
        <v>76</v>
      </c>
      <c r="F1012" s="16">
        <v>1</v>
      </c>
      <c r="G1012" s="17">
        <v>16.5</v>
      </c>
      <c r="H1012" s="17">
        <f t="shared" si="15"/>
        <v>16.5</v>
      </c>
    </row>
    <row r="1013" customFormat="1" spans="1:8">
      <c r="A1013" s="2">
        <v>46179</v>
      </c>
      <c r="B1013" s="3">
        <v>1609981</v>
      </c>
      <c r="C1013" s="3" t="s">
        <v>153</v>
      </c>
      <c r="D1013" s="4">
        <v>20318262</v>
      </c>
      <c r="E1013" s="3" t="s">
        <v>77</v>
      </c>
      <c r="F1013" s="4">
        <v>3</v>
      </c>
      <c r="G1013" s="5">
        <v>16.5</v>
      </c>
      <c r="H1013" s="5">
        <f t="shared" si="15"/>
        <v>49.5</v>
      </c>
    </row>
    <row r="1014" customFormat="1" spans="1:8">
      <c r="A1014" s="14">
        <v>46179</v>
      </c>
      <c r="B1014" s="15">
        <v>1609981</v>
      </c>
      <c r="C1014" s="15" t="s">
        <v>153</v>
      </c>
      <c r="D1014" s="16">
        <v>20014827</v>
      </c>
      <c r="E1014" s="15" t="s">
        <v>84</v>
      </c>
      <c r="F1014" s="16">
        <v>1</v>
      </c>
      <c r="G1014" s="17">
        <v>16.5</v>
      </c>
      <c r="H1014" s="17">
        <f t="shared" si="15"/>
        <v>16.5</v>
      </c>
    </row>
    <row r="1015" customFormat="1" spans="1:8">
      <c r="A1015" s="2">
        <v>46179</v>
      </c>
      <c r="B1015" s="3">
        <v>1609981</v>
      </c>
      <c r="C1015" s="3" t="s">
        <v>153</v>
      </c>
      <c r="D1015" s="4">
        <v>20321468</v>
      </c>
      <c r="E1015" s="3" t="s">
        <v>89</v>
      </c>
      <c r="F1015" s="4">
        <v>1</v>
      </c>
      <c r="G1015" s="5">
        <v>16.5</v>
      </c>
      <c r="H1015" s="5">
        <f t="shared" si="15"/>
        <v>16.5</v>
      </c>
    </row>
    <row r="1016" customFormat="1" spans="1:8">
      <c r="A1016" s="2">
        <v>46180</v>
      </c>
      <c r="B1016" s="3">
        <v>1610039</v>
      </c>
      <c r="C1016" s="3" t="s">
        <v>150</v>
      </c>
      <c r="D1016" s="4">
        <v>20326613</v>
      </c>
      <c r="E1016" s="3" t="s">
        <v>78</v>
      </c>
      <c r="F1016" s="4">
        <v>10</v>
      </c>
      <c r="G1016" s="5">
        <v>88</v>
      </c>
      <c r="H1016" s="5">
        <f t="shared" si="15"/>
        <v>880</v>
      </c>
    </row>
    <row r="1017" customFormat="1" spans="1:8">
      <c r="A1017" s="2">
        <v>46180</v>
      </c>
      <c r="B1017" s="3">
        <v>1610039</v>
      </c>
      <c r="C1017" s="3" t="s">
        <v>150</v>
      </c>
      <c r="D1017" s="4">
        <v>20318156</v>
      </c>
      <c r="E1017" s="3" t="s">
        <v>112</v>
      </c>
      <c r="F1017" s="4">
        <v>1</v>
      </c>
      <c r="G1017" s="5">
        <v>154</v>
      </c>
      <c r="H1017" s="5">
        <f t="shared" si="15"/>
        <v>154</v>
      </c>
    </row>
    <row r="1018" customFormat="1" spans="1:8">
      <c r="A1018" s="2">
        <v>46180</v>
      </c>
      <c r="B1018" s="3">
        <v>1610039</v>
      </c>
      <c r="C1018" s="3" t="s">
        <v>151</v>
      </c>
      <c r="D1018" s="4">
        <v>20329846</v>
      </c>
      <c r="E1018" s="3" t="s">
        <v>90</v>
      </c>
      <c r="F1018" s="4">
        <v>3</v>
      </c>
      <c r="G1018" s="5">
        <v>13.5</v>
      </c>
      <c r="H1018" s="5">
        <f t="shared" si="15"/>
        <v>40.5</v>
      </c>
    </row>
    <row r="1019" customFormat="1" spans="1:8">
      <c r="A1019" s="2">
        <v>46180</v>
      </c>
      <c r="B1019" s="3">
        <v>1610039</v>
      </c>
      <c r="C1019" s="3" t="s">
        <v>151</v>
      </c>
      <c r="D1019" s="4">
        <v>20318236</v>
      </c>
      <c r="E1019" s="3" t="s">
        <v>91</v>
      </c>
      <c r="F1019" s="4">
        <v>1</v>
      </c>
      <c r="G1019" s="5">
        <v>11</v>
      </c>
      <c r="H1019" s="5">
        <f t="shared" si="15"/>
        <v>11</v>
      </c>
    </row>
    <row r="1020" customFormat="1" spans="1:8">
      <c r="A1020" s="2">
        <v>46180</v>
      </c>
      <c r="B1020" s="3">
        <v>1610039</v>
      </c>
      <c r="C1020" s="3" t="s">
        <v>151</v>
      </c>
      <c r="D1020" s="4">
        <v>20329843</v>
      </c>
      <c r="E1020" s="3" t="s">
        <v>92</v>
      </c>
      <c r="F1020" s="4">
        <v>1</v>
      </c>
      <c r="G1020" s="5">
        <v>11</v>
      </c>
      <c r="H1020" s="5">
        <f t="shared" si="15"/>
        <v>11</v>
      </c>
    </row>
    <row r="1021" customFormat="1" spans="1:8">
      <c r="A1021" s="2">
        <v>46180</v>
      </c>
      <c r="B1021" s="3">
        <v>1610039</v>
      </c>
      <c r="C1021" s="3" t="s">
        <v>151</v>
      </c>
      <c r="D1021" s="4">
        <v>20329981</v>
      </c>
      <c r="E1021" s="3" t="s">
        <v>95</v>
      </c>
      <c r="F1021" s="4">
        <v>1</v>
      </c>
      <c r="G1021" s="5">
        <v>8</v>
      </c>
      <c r="H1021" s="5">
        <f t="shared" si="15"/>
        <v>8</v>
      </c>
    </row>
    <row r="1022" customFormat="1" spans="1:8">
      <c r="A1022" s="2">
        <v>46180</v>
      </c>
      <c r="B1022" s="3">
        <v>1610039</v>
      </c>
      <c r="C1022" s="3" t="s">
        <v>151</v>
      </c>
      <c r="D1022" s="4">
        <v>20351064</v>
      </c>
      <c r="E1022" s="3" t="s">
        <v>99</v>
      </c>
      <c r="F1022" s="4">
        <v>1</v>
      </c>
      <c r="G1022" s="5">
        <v>13.5</v>
      </c>
      <c r="H1022" s="5">
        <f t="shared" si="15"/>
        <v>13.5</v>
      </c>
    </row>
    <row r="1023" customFormat="1" spans="1:8">
      <c r="A1023" s="2">
        <v>46180</v>
      </c>
      <c r="B1023" s="3">
        <v>1610039</v>
      </c>
      <c r="C1023" s="3" t="s">
        <v>151</v>
      </c>
      <c r="D1023" s="4">
        <v>20329847</v>
      </c>
      <c r="E1023" s="3" t="s">
        <v>129</v>
      </c>
      <c r="F1023" s="4">
        <v>3</v>
      </c>
      <c r="G1023" s="5">
        <v>13</v>
      </c>
      <c r="H1023" s="5">
        <f t="shared" si="15"/>
        <v>39</v>
      </c>
    </row>
    <row r="1024" customFormat="1" spans="1:8">
      <c r="A1024" s="2">
        <v>46180</v>
      </c>
      <c r="B1024" s="3">
        <v>1610039</v>
      </c>
      <c r="C1024" s="3" t="s">
        <v>151</v>
      </c>
      <c r="D1024" s="4">
        <v>20318231</v>
      </c>
      <c r="E1024" s="3" t="s">
        <v>130</v>
      </c>
      <c r="F1024" s="4">
        <v>6</v>
      </c>
      <c r="G1024" s="5">
        <v>16.5</v>
      </c>
      <c r="H1024" s="5">
        <f t="shared" si="15"/>
        <v>99</v>
      </c>
    </row>
    <row r="1025" customFormat="1" spans="1:8">
      <c r="A1025" s="2">
        <v>46180</v>
      </c>
      <c r="B1025" s="3">
        <v>1610039</v>
      </c>
      <c r="C1025" s="3" t="s">
        <v>151</v>
      </c>
      <c r="D1025" s="4">
        <v>20333142</v>
      </c>
      <c r="E1025" s="3" t="s">
        <v>138</v>
      </c>
      <c r="F1025" s="4">
        <v>1</v>
      </c>
      <c r="G1025" s="5">
        <v>22</v>
      </c>
      <c r="H1025" s="5">
        <f t="shared" si="15"/>
        <v>22</v>
      </c>
    </row>
    <row r="1026" customFormat="1" spans="1:8">
      <c r="A1026" s="2">
        <v>46180</v>
      </c>
      <c r="B1026" s="3">
        <v>1610039</v>
      </c>
      <c r="C1026" s="3" t="s">
        <v>152</v>
      </c>
      <c r="D1026" s="4">
        <v>20351811</v>
      </c>
      <c r="E1026" s="3" t="s">
        <v>110</v>
      </c>
      <c r="F1026" s="4">
        <v>8</v>
      </c>
      <c r="G1026" s="5">
        <v>55</v>
      </c>
      <c r="H1026" s="5">
        <f t="shared" ref="H1026:H1056" si="16">G1026*F1026</f>
        <v>440</v>
      </c>
    </row>
    <row r="1027" customFormat="1" spans="1:8">
      <c r="A1027" s="2">
        <v>46180</v>
      </c>
      <c r="B1027" s="3">
        <v>1610039</v>
      </c>
      <c r="C1027" s="3" t="s">
        <v>153</v>
      </c>
      <c r="D1027" s="4">
        <v>20321257</v>
      </c>
      <c r="E1027" s="3" t="s">
        <v>68</v>
      </c>
      <c r="F1027" s="4">
        <v>4</v>
      </c>
      <c r="G1027" s="5">
        <v>16.5</v>
      </c>
      <c r="H1027" s="5">
        <f t="shared" si="16"/>
        <v>66</v>
      </c>
    </row>
    <row r="1028" customFormat="1" spans="1:8">
      <c r="A1028" s="14">
        <v>46180</v>
      </c>
      <c r="B1028" s="15">
        <v>1610039</v>
      </c>
      <c r="C1028" s="15" t="s">
        <v>153</v>
      </c>
      <c r="D1028" s="16">
        <v>20318229</v>
      </c>
      <c r="E1028" s="15" t="s">
        <v>76</v>
      </c>
      <c r="F1028" s="16">
        <v>4</v>
      </c>
      <c r="G1028" s="17">
        <v>16.5</v>
      </c>
      <c r="H1028" s="17">
        <f t="shared" si="16"/>
        <v>66</v>
      </c>
    </row>
    <row r="1029" customFormat="1" spans="1:8">
      <c r="A1029" s="2">
        <v>46180</v>
      </c>
      <c r="B1029" s="3">
        <v>1610039</v>
      </c>
      <c r="C1029" s="3" t="s">
        <v>153</v>
      </c>
      <c r="D1029" s="4">
        <v>20318262</v>
      </c>
      <c r="E1029" s="3" t="s">
        <v>77</v>
      </c>
      <c r="F1029" s="4">
        <v>3</v>
      </c>
      <c r="G1029" s="5">
        <v>16.5</v>
      </c>
      <c r="H1029" s="5">
        <f t="shared" si="16"/>
        <v>49.5</v>
      </c>
    </row>
    <row r="1030" customFormat="1" spans="1:8">
      <c r="A1030" s="14">
        <v>46180</v>
      </c>
      <c r="B1030" s="15">
        <v>1610039</v>
      </c>
      <c r="C1030" s="15" t="s">
        <v>153</v>
      </c>
      <c r="D1030" s="16">
        <v>20014827</v>
      </c>
      <c r="E1030" s="15" t="s">
        <v>84</v>
      </c>
      <c r="F1030" s="16">
        <v>2</v>
      </c>
      <c r="G1030" s="17">
        <v>16.5</v>
      </c>
      <c r="H1030" s="17">
        <f t="shared" si="16"/>
        <v>33</v>
      </c>
    </row>
    <row r="1031" customFormat="1" spans="1:8">
      <c r="A1031" s="2">
        <v>46181</v>
      </c>
      <c r="B1031" s="3">
        <v>1610141</v>
      </c>
      <c r="C1031" s="3" t="s">
        <v>150</v>
      </c>
      <c r="D1031" s="4">
        <v>20326613</v>
      </c>
      <c r="E1031" s="3" t="s">
        <v>78</v>
      </c>
      <c r="F1031" s="4">
        <v>7</v>
      </c>
      <c r="G1031" s="5">
        <v>88</v>
      </c>
      <c r="H1031" s="5">
        <f t="shared" si="16"/>
        <v>616</v>
      </c>
    </row>
    <row r="1032" customFormat="1" spans="1:8">
      <c r="A1032" s="2">
        <v>46181</v>
      </c>
      <c r="B1032" s="3">
        <v>1610141</v>
      </c>
      <c r="C1032" s="3" t="s">
        <v>151</v>
      </c>
      <c r="D1032" s="4">
        <v>20329847</v>
      </c>
      <c r="E1032" s="3" t="s">
        <v>129</v>
      </c>
      <c r="F1032" s="4">
        <v>4</v>
      </c>
      <c r="G1032" s="5">
        <v>13</v>
      </c>
      <c r="H1032" s="5">
        <f t="shared" si="16"/>
        <v>52</v>
      </c>
    </row>
    <row r="1033" customFormat="1" spans="1:8">
      <c r="A1033" s="2">
        <v>46181</v>
      </c>
      <c r="B1033" s="3">
        <v>1610141</v>
      </c>
      <c r="C1033" s="3" t="s">
        <v>151</v>
      </c>
      <c r="D1033" s="4">
        <v>20318231</v>
      </c>
      <c r="E1033" s="3" t="s">
        <v>130</v>
      </c>
      <c r="F1033" s="4">
        <v>1</v>
      </c>
      <c r="G1033" s="5">
        <v>16.5</v>
      </c>
      <c r="H1033" s="5">
        <f t="shared" si="16"/>
        <v>16.5</v>
      </c>
    </row>
    <row r="1034" customFormat="1" spans="1:8">
      <c r="A1034" s="2">
        <v>46181</v>
      </c>
      <c r="B1034" s="3">
        <v>1610141</v>
      </c>
      <c r="C1034" s="3" t="s">
        <v>155</v>
      </c>
      <c r="D1034" s="4">
        <v>20322228</v>
      </c>
      <c r="E1034" s="3" t="s">
        <v>74</v>
      </c>
      <c r="F1034" s="4">
        <v>1</v>
      </c>
      <c r="G1034" s="5">
        <v>15</v>
      </c>
      <c r="H1034" s="5">
        <f t="shared" si="16"/>
        <v>15</v>
      </c>
    </row>
    <row r="1035" customFormat="1" spans="1:8">
      <c r="A1035" s="2">
        <v>46181</v>
      </c>
      <c r="B1035" s="3">
        <v>1610141</v>
      </c>
      <c r="C1035" s="3" t="s">
        <v>153</v>
      </c>
      <c r="D1035" s="4">
        <v>20321257</v>
      </c>
      <c r="E1035" s="3" t="s">
        <v>68</v>
      </c>
      <c r="F1035" s="4">
        <v>1</v>
      </c>
      <c r="G1035" s="5">
        <v>16.5</v>
      </c>
      <c r="H1035" s="5">
        <f t="shared" si="16"/>
        <v>16.5</v>
      </c>
    </row>
    <row r="1036" customFormat="1" spans="1:8">
      <c r="A1036" s="14">
        <v>46181</v>
      </c>
      <c r="B1036" s="15">
        <v>1610141</v>
      </c>
      <c r="C1036" s="15" t="s">
        <v>153</v>
      </c>
      <c r="D1036" s="16">
        <v>20014827</v>
      </c>
      <c r="E1036" s="15" t="s">
        <v>84</v>
      </c>
      <c r="F1036" s="16">
        <v>1</v>
      </c>
      <c r="G1036" s="17">
        <v>16.5</v>
      </c>
      <c r="H1036" s="17">
        <f t="shared" si="16"/>
        <v>16.5</v>
      </c>
    </row>
    <row r="1037" customFormat="1" spans="1:8">
      <c r="A1037" s="2">
        <v>46181</v>
      </c>
      <c r="B1037" s="3">
        <v>1610243</v>
      </c>
      <c r="C1037" s="3" t="s">
        <v>150</v>
      </c>
      <c r="D1037" s="4">
        <v>20326613</v>
      </c>
      <c r="E1037" s="3" t="s">
        <v>78</v>
      </c>
      <c r="F1037" s="4">
        <v>3</v>
      </c>
      <c r="G1037" s="5">
        <v>88</v>
      </c>
      <c r="H1037" s="5">
        <f t="shared" si="16"/>
        <v>264</v>
      </c>
    </row>
    <row r="1038" customFormat="1" spans="1:8">
      <c r="A1038" s="2">
        <v>46181</v>
      </c>
      <c r="B1038" s="3">
        <v>1610243</v>
      </c>
      <c r="C1038" s="3" t="s">
        <v>150</v>
      </c>
      <c r="D1038" s="4">
        <v>20312951</v>
      </c>
      <c r="E1038" s="3" t="s">
        <v>121</v>
      </c>
      <c r="F1038" s="4">
        <v>1</v>
      </c>
      <c r="G1038" s="5">
        <v>165</v>
      </c>
      <c r="H1038" s="5">
        <f t="shared" si="16"/>
        <v>165</v>
      </c>
    </row>
    <row r="1039" customFormat="1" spans="1:8">
      <c r="A1039" s="2">
        <v>46181</v>
      </c>
      <c r="B1039" s="3">
        <v>1610243</v>
      </c>
      <c r="C1039" s="3" t="s">
        <v>151</v>
      </c>
      <c r="D1039" s="4">
        <v>20318257</v>
      </c>
      <c r="E1039" s="3" t="s">
        <v>86</v>
      </c>
      <c r="F1039" s="4">
        <v>1</v>
      </c>
      <c r="G1039" s="5">
        <v>8</v>
      </c>
      <c r="H1039" s="5">
        <f t="shared" si="16"/>
        <v>8</v>
      </c>
    </row>
    <row r="1040" customFormat="1" spans="1:8">
      <c r="A1040" s="2">
        <v>46181</v>
      </c>
      <c r="B1040" s="3">
        <v>1610243</v>
      </c>
      <c r="C1040" s="3" t="s">
        <v>151</v>
      </c>
      <c r="D1040" s="4">
        <v>20329846</v>
      </c>
      <c r="E1040" s="3" t="s">
        <v>90</v>
      </c>
      <c r="F1040" s="4">
        <v>1</v>
      </c>
      <c r="G1040" s="5">
        <v>13.5</v>
      </c>
      <c r="H1040" s="5">
        <f t="shared" si="16"/>
        <v>13.5</v>
      </c>
    </row>
    <row r="1041" customFormat="1" spans="1:8">
      <c r="A1041" s="2">
        <v>46181</v>
      </c>
      <c r="B1041" s="3">
        <v>1610243</v>
      </c>
      <c r="C1041" s="3" t="s">
        <v>151</v>
      </c>
      <c r="D1041" s="4">
        <v>20318236</v>
      </c>
      <c r="E1041" s="3" t="s">
        <v>91</v>
      </c>
      <c r="F1041" s="4">
        <v>1</v>
      </c>
      <c r="G1041" s="5">
        <v>11</v>
      </c>
      <c r="H1041" s="5">
        <f t="shared" si="16"/>
        <v>11</v>
      </c>
    </row>
    <row r="1042" customFormat="1" spans="1:8">
      <c r="A1042" s="2">
        <v>46181</v>
      </c>
      <c r="B1042" s="3">
        <v>1610243</v>
      </c>
      <c r="C1042" s="3" t="s">
        <v>151</v>
      </c>
      <c r="D1042" s="4">
        <v>20329843</v>
      </c>
      <c r="E1042" s="3" t="s">
        <v>92</v>
      </c>
      <c r="F1042" s="4">
        <v>1</v>
      </c>
      <c r="G1042" s="5">
        <v>11</v>
      </c>
      <c r="H1042" s="5">
        <f t="shared" si="16"/>
        <v>11</v>
      </c>
    </row>
    <row r="1043" customFormat="1" spans="1:8">
      <c r="A1043" s="2">
        <v>46181</v>
      </c>
      <c r="B1043" s="3">
        <v>1610243</v>
      </c>
      <c r="C1043" s="3" t="s">
        <v>151</v>
      </c>
      <c r="D1043" s="4">
        <v>20331668</v>
      </c>
      <c r="E1043" s="3" t="s">
        <v>115</v>
      </c>
      <c r="F1043" s="4">
        <v>1</v>
      </c>
      <c r="G1043" s="5">
        <v>8</v>
      </c>
      <c r="H1043" s="5">
        <f t="shared" si="16"/>
        <v>8</v>
      </c>
    </row>
    <row r="1044" customFormat="1" spans="1:8">
      <c r="A1044" s="2">
        <v>46181</v>
      </c>
      <c r="B1044" s="3">
        <v>1610243</v>
      </c>
      <c r="C1044" s="3" t="s">
        <v>151</v>
      </c>
      <c r="D1044" s="4">
        <v>20333778</v>
      </c>
      <c r="E1044" s="3" t="s">
        <v>116</v>
      </c>
      <c r="F1044" s="4">
        <v>2</v>
      </c>
      <c r="G1044" s="5">
        <v>16.5</v>
      </c>
      <c r="H1044" s="5">
        <f t="shared" si="16"/>
        <v>33</v>
      </c>
    </row>
    <row r="1045" customFormat="1" spans="1:8">
      <c r="A1045" s="2">
        <v>46181</v>
      </c>
      <c r="B1045" s="3">
        <v>1610243</v>
      </c>
      <c r="C1045" s="3" t="s">
        <v>151</v>
      </c>
      <c r="D1045" s="4">
        <v>20331472</v>
      </c>
      <c r="E1045" s="3" t="s">
        <v>141</v>
      </c>
      <c r="F1045" s="4">
        <v>1</v>
      </c>
      <c r="G1045" s="5">
        <v>8</v>
      </c>
      <c r="H1045" s="5">
        <f t="shared" si="16"/>
        <v>8</v>
      </c>
    </row>
    <row r="1046" customFormat="1" spans="1:8">
      <c r="A1046" s="2">
        <v>46181</v>
      </c>
      <c r="B1046" s="3">
        <v>1610243</v>
      </c>
      <c r="C1046" s="3" t="s">
        <v>156</v>
      </c>
      <c r="D1046" s="4">
        <v>20322235</v>
      </c>
      <c r="E1046" s="3" t="s">
        <v>111</v>
      </c>
      <c r="F1046" s="4">
        <v>4</v>
      </c>
      <c r="G1046" s="5">
        <v>2.5</v>
      </c>
      <c r="H1046" s="5">
        <f t="shared" si="16"/>
        <v>10</v>
      </c>
    </row>
    <row r="1047" customFormat="1" spans="1:8">
      <c r="A1047" s="2">
        <v>46181</v>
      </c>
      <c r="B1047" s="3">
        <v>1610243</v>
      </c>
      <c r="C1047" s="3" t="s">
        <v>152</v>
      </c>
      <c r="D1047" s="4">
        <v>20394933</v>
      </c>
      <c r="E1047" s="3" t="s">
        <v>105</v>
      </c>
      <c r="F1047" s="4">
        <v>1</v>
      </c>
      <c r="G1047" s="5">
        <v>66</v>
      </c>
      <c r="H1047" s="5">
        <f t="shared" si="16"/>
        <v>66</v>
      </c>
    </row>
    <row r="1048" customFormat="1" spans="1:8">
      <c r="A1048" s="2">
        <v>46181</v>
      </c>
      <c r="B1048" s="3">
        <v>1610243</v>
      </c>
      <c r="C1048" s="3" t="s">
        <v>153</v>
      </c>
      <c r="D1048" s="4">
        <v>20321257</v>
      </c>
      <c r="E1048" s="3" t="s">
        <v>68</v>
      </c>
      <c r="F1048" s="4">
        <v>3</v>
      </c>
      <c r="G1048" s="5">
        <v>16.5</v>
      </c>
      <c r="H1048" s="5">
        <f t="shared" si="16"/>
        <v>49.5</v>
      </c>
    </row>
    <row r="1049" customFormat="1" spans="1:8">
      <c r="A1049" s="14">
        <v>46181</v>
      </c>
      <c r="B1049" s="15">
        <v>1610243</v>
      </c>
      <c r="C1049" s="15" t="s">
        <v>153</v>
      </c>
      <c r="D1049" s="16">
        <v>20318229</v>
      </c>
      <c r="E1049" s="15" t="s">
        <v>76</v>
      </c>
      <c r="F1049" s="16">
        <v>3</v>
      </c>
      <c r="G1049" s="17">
        <v>16.5</v>
      </c>
      <c r="H1049" s="17">
        <f t="shared" si="16"/>
        <v>49.5</v>
      </c>
    </row>
    <row r="1050" customFormat="1" spans="1:8">
      <c r="A1050" s="2">
        <v>46181</v>
      </c>
      <c r="B1050" s="3">
        <v>1610243</v>
      </c>
      <c r="C1050" s="3" t="s">
        <v>153</v>
      </c>
      <c r="D1050" s="4">
        <v>20318262</v>
      </c>
      <c r="E1050" s="3" t="s">
        <v>77</v>
      </c>
      <c r="F1050" s="4">
        <v>2</v>
      </c>
      <c r="G1050" s="5">
        <v>16.5</v>
      </c>
      <c r="H1050" s="5">
        <f t="shared" si="16"/>
        <v>33</v>
      </c>
    </row>
    <row r="1051" customFormat="1" spans="1:8">
      <c r="A1051" s="2">
        <v>46181</v>
      </c>
      <c r="B1051" s="3">
        <v>1610250</v>
      </c>
      <c r="C1051" s="3" t="s">
        <v>151</v>
      </c>
      <c r="D1051" s="4">
        <v>20318231</v>
      </c>
      <c r="E1051" s="3" t="s">
        <v>130</v>
      </c>
      <c r="F1051" s="4">
        <v>1</v>
      </c>
      <c r="G1051" s="5">
        <v>16.5</v>
      </c>
      <c r="H1051" s="5">
        <f t="shared" si="16"/>
        <v>16.5</v>
      </c>
    </row>
    <row r="1052" customFormat="1" spans="1:8">
      <c r="A1052" s="2">
        <v>46181</v>
      </c>
      <c r="B1052" s="3">
        <v>1610322</v>
      </c>
      <c r="C1052" s="3" t="s">
        <v>150</v>
      </c>
      <c r="D1052" s="4">
        <v>20326613</v>
      </c>
      <c r="E1052" s="3" t="s">
        <v>78</v>
      </c>
      <c r="F1052" s="4">
        <v>1</v>
      </c>
      <c r="G1052" s="5">
        <v>88</v>
      </c>
      <c r="H1052" s="5">
        <f t="shared" si="16"/>
        <v>88</v>
      </c>
    </row>
    <row r="1053" customFormat="1" spans="1:8">
      <c r="A1053" s="2">
        <v>46181</v>
      </c>
      <c r="B1053" s="3">
        <v>1610322</v>
      </c>
      <c r="C1053" s="3" t="s">
        <v>151</v>
      </c>
      <c r="D1053" s="4">
        <v>20329847</v>
      </c>
      <c r="E1053" s="3" t="s">
        <v>129</v>
      </c>
      <c r="F1053" s="4">
        <v>1</v>
      </c>
      <c r="G1053" s="5">
        <v>13</v>
      </c>
      <c r="H1053" s="5">
        <f t="shared" si="16"/>
        <v>13</v>
      </c>
    </row>
    <row r="1054" customFormat="1" spans="1:8">
      <c r="A1054" s="2">
        <v>46181</v>
      </c>
      <c r="B1054" s="3">
        <v>1610322</v>
      </c>
      <c r="C1054" s="3" t="s">
        <v>151</v>
      </c>
      <c r="D1054" s="4">
        <v>20318231</v>
      </c>
      <c r="E1054" s="3" t="s">
        <v>130</v>
      </c>
      <c r="F1054" s="4">
        <v>1</v>
      </c>
      <c r="G1054" s="5">
        <v>16.5</v>
      </c>
      <c r="H1054" s="5">
        <f t="shared" si="16"/>
        <v>16.5</v>
      </c>
    </row>
    <row r="1055" customFormat="1" spans="1:8">
      <c r="A1055" s="2">
        <v>46181</v>
      </c>
      <c r="B1055" s="3">
        <v>1610322</v>
      </c>
      <c r="C1055" s="3" t="s">
        <v>152</v>
      </c>
      <c r="D1055" s="4">
        <v>20419674</v>
      </c>
      <c r="E1055" s="3" t="s">
        <v>104</v>
      </c>
      <c r="F1055" s="4">
        <v>1</v>
      </c>
      <c r="G1055" s="5">
        <v>66</v>
      </c>
      <c r="H1055" s="5">
        <f t="shared" si="16"/>
        <v>66</v>
      </c>
    </row>
    <row r="1056" customFormat="1" spans="1:8">
      <c r="A1056" s="2">
        <v>46181</v>
      </c>
      <c r="B1056" s="3">
        <v>1610322</v>
      </c>
      <c r="C1056" s="3" t="s">
        <v>153</v>
      </c>
      <c r="D1056" s="4">
        <v>20321257</v>
      </c>
      <c r="E1056" s="3" t="s">
        <v>68</v>
      </c>
      <c r="F1056" s="4">
        <v>1</v>
      </c>
      <c r="G1056" s="5">
        <v>16.5</v>
      </c>
      <c r="H1056" s="5">
        <f t="shared" si="16"/>
        <v>16.5</v>
      </c>
    </row>
    <row r="1057" customFormat="1" ht="0.05" customHeight="1"/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77"/>
  <sheetViews>
    <sheetView topLeftCell="A136" workbookViewId="0">
      <selection activeCell="C4" sqref="C4:C175"/>
    </sheetView>
  </sheetViews>
  <sheetFormatPr defaultColWidth="9" defaultRowHeight="13.5" outlineLevelCol="2"/>
  <cols>
    <col min="1" max="1" width="39.875"/>
    <col min="2" max="3" width="12"/>
  </cols>
  <sheetData>
    <row r="3" spans="1:3">
      <c r="A3" t="s">
        <v>62</v>
      </c>
      <c r="B3" t="s">
        <v>63</v>
      </c>
      <c r="C3" t="s">
        <v>64</v>
      </c>
    </row>
    <row r="4" spans="1:3">
      <c r="A4" t="s">
        <v>157</v>
      </c>
      <c r="B4">
        <v>2</v>
      </c>
      <c r="C4">
        <v>253</v>
      </c>
    </row>
    <row r="5" spans="1:3">
      <c r="A5" t="s">
        <v>158</v>
      </c>
      <c r="B5">
        <v>1</v>
      </c>
      <c r="C5">
        <v>126.5</v>
      </c>
    </row>
    <row r="6" spans="1:3">
      <c r="A6" t="s">
        <v>159</v>
      </c>
      <c r="B6">
        <v>1</v>
      </c>
      <c r="C6">
        <v>16.5</v>
      </c>
    </row>
    <row r="7" spans="1:3">
      <c r="A7" t="s">
        <v>160</v>
      </c>
      <c r="B7">
        <v>1</v>
      </c>
      <c r="C7">
        <v>38.5</v>
      </c>
    </row>
    <row r="8" spans="1:3">
      <c r="A8" t="s">
        <v>161</v>
      </c>
      <c r="B8">
        <v>18</v>
      </c>
      <c r="C8">
        <v>990</v>
      </c>
    </row>
    <row r="9" spans="1:3">
      <c r="A9" t="s">
        <v>162</v>
      </c>
      <c r="B9">
        <v>16</v>
      </c>
      <c r="C9">
        <v>792</v>
      </c>
    </row>
    <row r="10" spans="1:3">
      <c r="A10" t="s">
        <v>163</v>
      </c>
      <c r="B10">
        <v>19</v>
      </c>
      <c r="C10">
        <v>940.5</v>
      </c>
    </row>
    <row r="11" spans="1:3">
      <c r="A11" t="s">
        <v>164</v>
      </c>
      <c r="B11">
        <v>1</v>
      </c>
      <c r="C11">
        <v>16.5</v>
      </c>
    </row>
    <row r="12" spans="1:3">
      <c r="A12" t="s">
        <v>165</v>
      </c>
      <c r="B12">
        <v>1</v>
      </c>
      <c r="C12">
        <v>35</v>
      </c>
    </row>
    <row r="13" spans="1:3">
      <c r="A13" t="s">
        <v>166</v>
      </c>
      <c r="B13">
        <v>1</v>
      </c>
      <c r="C13">
        <v>16.5</v>
      </c>
    </row>
    <row r="14" spans="1:3">
      <c r="A14" t="s">
        <v>167</v>
      </c>
      <c r="B14">
        <v>3</v>
      </c>
      <c r="C14">
        <v>66</v>
      </c>
    </row>
    <row r="15" spans="1:3">
      <c r="A15" t="s">
        <v>168</v>
      </c>
      <c r="B15">
        <v>2</v>
      </c>
      <c r="C15">
        <v>66</v>
      </c>
    </row>
    <row r="16" spans="1:3">
      <c r="A16" t="s">
        <v>169</v>
      </c>
      <c r="B16">
        <v>23</v>
      </c>
      <c r="C16">
        <v>1265</v>
      </c>
    </row>
    <row r="17" spans="1:3">
      <c r="A17" t="s">
        <v>170</v>
      </c>
      <c r="B17">
        <v>1</v>
      </c>
      <c r="C17">
        <v>49.5</v>
      </c>
    </row>
    <row r="18" spans="1:3">
      <c r="A18" t="s">
        <v>171</v>
      </c>
      <c r="B18">
        <v>1</v>
      </c>
      <c r="C18">
        <v>55</v>
      </c>
    </row>
    <row r="19" spans="1:3">
      <c r="A19" t="s">
        <v>172</v>
      </c>
      <c r="B19">
        <v>1</v>
      </c>
      <c r="C19">
        <v>8</v>
      </c>
    </row>
    <row r="20" spans="1:3">
      <c r="A20" t="s">
        <v>173</v>
      </c>
      <c r="B20">
        <v>2</v>
      </c>
      <c r="C20">
        <v>77</v>
      </c>
    </row>
    <row r="21" spans="1:3">
      <c r="A21" t="s">
        <v>174</v>
      </c>
      <c r="B21">
        <v>8</v>
      </c>
      <c r="C21">
        <v>1716</v>
      </c>
    </row>
    <row r="22" spans="1:3">
      <c r="A22" t="s">
        <v>175</v>
      </c>
      <c r="B22">
        <v>3</v>
      </c>
      <c r="C22">
        <v>148.5</v>
      </c>
    </row>
    <row r="23" spans="1:3">
      <c r="A23" t="s">
        <v>68</v>
      </c>
      <c r="B23">
        <v>322</v>
      </c>
      <c r="C23">
        <v>5313</v>
      </c>
    </row>
    <row r="24" spans="1:3">
      <c r="A24" t="s">
        <v>70</v>
      </c>
      <c r="B24">
        <v>1</v>
      </c>
      <c r="C24">
        <v>16.5</v>
      </c>
    </row>
    <row r="25" spans="1:3">
      <c r="A25" t="s">
        <v>176</v>
      </c>
      <c r="B25">
        <v>2</v>
      </c>
      <c r="C25">
        <v>33</v>
      </c>
    </row>
    <row r="26" spans="1:3">
      <c r="A26" t="s">
        <v>177</v>
      </c>
      <c r="B26">
        <v>7</v>
      </c>
      <c r="C26">
        <v>94.5</v>
      </c>
    </row>
    <row r="27" spans="1:3">
      <c r="A27" t="s">
        <v>178</v>
      </c>
      <c r="B27">
        <v>10</v>
      </c>
      <c r="C27">
        <v>80</v>
      </c>
    </row>
    <row r="28" spans="1:3">
      <c r="A28" t="s">
        <v>179</v>
      </c>
      <c r="B28">
        <v>1</v>
      </c>
      <c r="C28">
        <v>88</v>
      </c>
    </row>
    <row r="29" spans="1:3">
      <c r="A29" t="s">
        <v>180</v>
      </c>
      <c r="B29">
        <v>2</v>
      </c>
      <c r="C29">
        <v>77</v>
      </c>
    </row>
    <row r="30" spans="1:3">
      <c r="A30" t="s">
        <v>181</v>
      </c>
      <c r="B30">
        <v>1</v>
      </c>
      <c r="C30">
        <v>49.5</v>
      </c>
    </row>
    <row r="31" spans="1:3">
      <c r="A31" t="s">
        <v>182</v>
      </c>
      <c r="B31">
        <v>1</v>
      </c>
      <c r="C31">
        <v>88</v>
      </c>
    </row>
    <row r="32" spans="1:3">
      <c r="A32" t="s">
        <v>183</v>
      </c>
      <c r="B32">
        <v>3</v>
      </c>
      <c r="C32">
        <v>132</v>
      </c>
    </row>
    <row r="33" spans="1:3">
      <c r="A33" t="s">
        <v>184</v>
      </c>
      <c r="B33">
        <v>2</v>
      </c>
      <c r="C33">
        <v>27</v>
      </c>
    </row>
    <row r="34" spans="1:3">
      <c r="A34" t="s">
        <v>185</v>
      </c>
      <c r="B34">
        <v>12</v>
      </c>
      <c r="C34">
        <v>198</v>
      </c>
    </row>
    <row r="35" spans="1:3">
      <c r="A35" t="s">
        <v>186</v>
      </c>
      <c r="B35">
        <v>72</v>
      </c>
      <c r="C35">
        <v>1188</v>
      </c>
    </row>
    <row r="36" spans="1:3">
      <c r="A36" t="s">
        <v>187</v>
      </c>
      <c r="B36">
        <v>23</v>
      </c>
      <c r="C36">
        <v>379.5</v>
      </c>
    </row>
    <row r="37" spans="1:3">
      <c r="A37" t="s">
        <v>188</v>
      </c>
      <c r="B37">
        <v>9</v>
      </c>
      <c r="C37">
        <v>148.5</v>
      </c>
    </row>
    <row r="38" spans="1:3">
      <c r="A38" t="s">
        <v>189</v>
      </c>
      <c r="B38">
        <v>1</v>
      </c>
      <c r="C38">
        <v>16.5</v>
      </c>
    </row>
    <row r="39" spans="1:3">
      <c r="A39" t="s">
        <v>190</v>
      </c>
      <c r="B39">
        <v>1</v>
      </c>
      <c r="C39">
        <v>33</v>
      </c>
    </row>
    <row r="40" spans="1:3">
      <c r="A40" t="s">
        <v>191</v>
      </c>
      <c r="B40">
        <v>5</v>
      </c>
      <c r="C40">
        <v>82.5</v>
      </c>
    </row>
    <row r="41" spans="1:3">
      <c r="A41" t="s">
        <v>192</v>
      </c>
      <c r="B41">
        <v>6</v>
      </c>
      <c r="C41">
        <v>99</v>
      </c>
    </row>
    <row r="42" spans="1:3">
      <c r="A42" t="s">
        <v>193</v>
      </c>
      <c r="B42">
        <v>10</v>
      </c>
      <c r="C42">
        <v>660</v>
      </c>
    </row>
    <row r="43" spans="1:3">
      <c r="A43" t="s">
        <v>194</v>
      </c>
      <c r="B43">
        <v>13</v>
      </c>
      <c r="C43">
        <v>858</v>
      </c>
    </row>
    <row r="44" spans="1:3">
      <c r="A44" t="s">
        <v>195</v>
      </c>
      <c r="B44">
        <v>11</v>
      </c>
      <c r="C44">
        <v>786.5</v>
      </c>
    </row>
    <row r="45" spans="1:3">
      <c r="A45" t="s">
        <v>196</v>
      </c>
      <c r="B45">
        <v>10</v>
      </c>
      <c r="C45">
        <v>715</v>
      </c>
    </row>
    <row r="46" spans="1:3">
      <c r="A46" t="s">
        <v>197</v>
      </c>
      <c r="B46">
        <v>10</v>
      </c>
      <c r="C46">
        <v>165</v>
      </c>
    </row>
    <row r="47" spans="1:3">
      <c r="A47" t="s">
        <v>198</v>
      </c>
      <c r="B47">
        <v>5</v>
      </c>
      <c r="C47">
        <v>82.5</v>
      </c>
    </row>
    <row r="48" spans="1:3">
      <c r="A48" t="s">
        <v>199</v>
      </c>
      <c r="B48">
        <v>2</v>
      </c>
      <c r="C48">
        <v>33</v>
      </c>
    </row>
    <row r="49" spans="1:3">
      <c r="A49" t="s">
        <v>74</v>
      </c>
      <c r="B49">
        <v>1</v>
      </c>
      <c r="C49">
        <v>15</v>
      </c>
    </row>
    <row r="50" spans="1:3">
      <c r="A50" t="s">
        <v>200</v>
      </c>
      <c r="B50">
        <v>4</v>
      </c>
      <c r="C50">
        <v>66</v>
      </c>
    </row>
    <row r="51" spans="1:3">
      <c r="A51" t="s">
        <v>201</v>
      </c>
      <c r="B51">
        <v>1</v>
      </c>
      <c r="C51">
        <v>25</v>
      </c>
    </row>
    <row r="52" spans="1:3">
      <c r="A52" t="s">
        <v>202</v>
      </c>
      <c r="B52">
        <v>1</v>
      </c>
      <c r="C52">
        <v>25</v>
      </c>
    </row>
    <row r="53" spans="1:3">
      <c r="A53" t="s">
        <v>203</v>
      </c>
      <c r="B53">
        <v>1</v>
      </c>
      <c r="C53">
        <v>170.5</v>
      </c>
    </row>
    <row r="54" spans="1:3">
      <c r="A54" t="s">
        <v>204</v>
      </c>
      <c r="B54">
        <v>1</v>
      </c>
      <c r="C54">
        <v>25</v>
      </c>
    </row>
    <row r="55" spans="1:3">
      <c r="A55" t="s">
        <v>205</v>
      </c>
      <c r="B55">
        <v>1</v>
      </c>
      <c r="C55">
        <v>33</v>
      </c>
    </row>
    <row r="56" spans="1:3">
      <c r="A56" t="s">
        <v>81</v>
      </c>
      <c r="B56">
        <v>8</v>
      </c>
      <c r="C56">
        <v>132</v>
      </c>
    </row>
    <row r="57" spans="1:3">
      <c r="A57" t="s">
        <v>206</v>
      </c>
      <c r="B57">
        <v>1</v>
      </c>
      <c r="C57">
        <v>110</v>
      </c>
    </row>
    <row r="58" spans="1:3">
      <c r="A58" t="s">
        <v>207</v>
      </c>
      <c r="B58">
        <v>3</v>
      </c>
      <c r="C58">
        <v>49.5</v>
      </c>
    </row>
    <row r="59" spans="1:3">
      <c r="A59" t="s">
        <v>83</v>
      </c>
      <c r="B59">
        <v>2</v>
      </c>
      <c r="C59">
        <v>33</v>
      </c>
    </row>
    <row r="60" spans="1:3">
      <c r="A60" t="s">
        <v>85</v>
      </c>
      <c r="B60">
        <v>16</v>
      </c>
      <c r="C60">
        <v>264</v>
      </c>
    </row>
    <row r="61" spans="1:3">
      <c r="A61" t="s">
        <v>208</v>
      </c>
      <c r="B61">
        <v>2</v>
      </c>
      <c r="C61">
        <v>99</v>
      </c>
    </row>
    <row r="62" spans="1:3">
      <c r="A62" t="s">
        <v>209</v>
      </c>
      <c r="B62">
        <v>4</v>
      </c>
      <c r="C62">
        <v>198</v>
      </c>
    </row>
    <row r="63" spans="1:3">
      <c r="A63" t="s">
        <v>210</v>
      </c>
      <c r="B63">
        <v>1</v>
      </c>
      <c r="C63">
        <v>55</v>
      </c>
    </row>
    <row r="64" spans="1:3">
      <c r="A64" t="s">
        <v>211</v>
      </c>
      <c r="B64">
        <v>1</v>
      </c>
      <c r="C64">
        <v>49.5</v>
      </c>
    </row>
    <row r="65" spans="1:3">
      <c r="A65" t="s">
        <v>212</v>
      </c>
      <c r="B65">
        <v>3</v>
      </c>
      <c r="C65">
        <v>1072.5</v>
      </c>
    </row>
    <row r="66" spans="1:3">
      <c r="A66" t="s">
        <v>213</v>
      </c>
      <c r="B66">
        <v>1</v>
      </c>
      <c r="C66">
        <v>275</v>
      </c>
    </row>
    <row r="67" spans="1:3">
      <c r="A67" t="s">
        <v>214</v>
      </c>
      <c r="B67">
        <v>1</v>
      </c>
      <c r="C67">
        <v>132</v>
      </c>
    </row>
    <row r="68" spans="1:3">
      <c r="A68" t="s">
        <v>215</v>
      </c>
      <c r="B68">
        <v>1</v>
      </c>
      <c r="C68">
        <v>132</v>
      </c>
    </row>
    <row r="69" spans="1:3">
      <c r="A69" t="s">
        <v>216</v>
      </c>
      <c r="B69">
        <v>2</v>
      </c>
      <c r="C69">
        <v>715</v>
      </c>
    </row>
    <row r="70" spans="1:3">
      <c r="A70" t="s">
        <v>217</v>
      </c>
      <c r="B70">
        <v>1</v>
      </c>
      <c r="C70">
        <v>16.5</v>
      </c>
    </row>
    <row r="71" spans="1:3">
      <c r="A71" t="s">
        <v>218</v>
      </c>
      <c r="B71">
        <v>1</v>
      </c>
      <c r="C71">
        <v>30</v>
      </c>
    </row>
    <row r="72" spans="1:3">
      <c r="A72" t="s">
        <v>219</v>
      </c>
      <c r="B72">
        <v>1</v>
      </c>
      <c r="C72">
        <v>22</v>
      </c>
    </row>
    <row r="73" spans="1:3">
      <c r="A73" t="s">
        <v>220</v>
      </c>
      <c r="B73">
        <v>1</v>
      </c>
      <c r="C73">
        <v>8</v>
      </c>
    </row>
    <row r="74" spans="1:3">
      <c r="A74" t="s">
        <v>221</v>
      </c>
      <c r="B74">
        <v>2</v>
      </c>
      <c r="C74">
        <v>16</v>
      </c>
    </row>
    <row r="75" spans="1:3">
      <c r="A75" t="s">
        <v>222</v>
      </c>
      <c r="B75">
        <v>2</v>
      </c>
      <c r="C75">
        <v>33</v>
      </c>
    </row>
    <row r="76" spans="1:3">
      <c r="A76" t="s">
        <v>223</v>
      </c>
      <c r="B76">
        <v>1</v>
      </c>
      <c r="C76">
        <v>8</v>
      </c>
    </row>
    <row r="77" spans="1:3">
      <c r="A77" t="s">
        <v>224</v>
      </c>
      <c r="B77">
        <v>5</v>
      </c>
      <c r="C77">
        <v>82.5</v>
      </c>
    </row>
    <row r="78" spans="1:3">
      <c r="A78" t="s">
        <v>225</v>
      </c>
      <c r="B78">
        <v>8</v>
      </c>
      <c r="C78">
        <v>396</v>
      </c>
    </row>
    <row r="79" spans="1:3">
      <c r="A79" t="s">
        <v>226</v>
      </c>
      <c r="B79">
        <v>1</v>
      </c>
      <c r="C79">
        <v>44</v>
      </c>
    </row>
    <row r="80" spans="1:3">
      <c r="A80" t="s">
        <v>227</v>
      </c>
      <c r="B80">
        <v>1</v>
      </c>
      <c r="C80">
        <v>38.5</v>
      </c>
    </row>
    <row r="81" spans="1:3">
      <c r="A81" t="s">
        <v>228</v>
      </c>
      <c r="B81">
        <v>29</v>
      </c>
      <c r="C81">
        <v>957</v>
      </c>
    </row>
    <row r="82" spans="1:3">
      <c r="A82" t="s">
        <v>229</v>
      </c>
      <c r="B82">
        <v>1</v>
      </c>
      <c r="C82">
        <v>22</v>
      </c>
    </row>
    <row r="83" spans="1:3">
      <c r="A83" t="s">
        <v>230</v>
      </c>
      <c r="B83">
        <v>1</v>
      </c>
      <c r="C83">
        <v>16.5</v>
      </c>
    </row>
    <row r="84" spans="1:3">
      <c r="A84" t="s">
        <v>231</v>
      </c>
      <c r="B84">
        <v>56</v>
      </c>
      <c r="C84">
        <v>924</v>
      </c>
    </row>
    <row r="85" spans="1:3">
      <c r="A85" t="s">
        <v>232</v>
      </c>
      <c r="B85">
        <v>57</v>
      </c>
      <c r="C85">
        <v>940.5</v>
      </c>
    </row>
    <row r="86" spans="1:3">
      <c r="A86" t="s">
        <v>94</v>
      </c>
      <c r="B86">
        <v>27</v>
      </c>
      <c r="C86">
        <v>216</v>
      </c>
    </row>
    <row r="87" spans="1:3">
      <c r="A87" t="s">
        <v>233</v>
      </c>
      <c r="B87">
        <v>5</v>
      </c>
      <c r="C87">
        <v>82.5</v>
      </c>
    </row>
    <row r="88" spans="1:3">
      <c r="A88" t="s">
        <v>234</v>
      </c>
      <c r="B88">
        <v>1</v>
      </c>
      <c r="C88">
        <v>16.5</v>
      </c>
    </row>
    <row r="89" spans="1:3">
      <c r="A89" t="s">
        <v>235</v>
      </c>
      <c r="B89">
        <v>5</v>
      </c>
      <c r="C89">
        <v>330</v>
      </c>
    </row>
    <row r="90" spans="1:3">
      <c r="A90" t="s">
        <v>236</v>
      </c>
      <c r="B90">
        <v>5</v>
      </c>
      <c r="C90">
        <v>412.5</v>
      </c>
    </row>
    <row r="91" spans="1:3">
      <c r="A91" t="s">
        <v>237</v>
      </c>
      <c r="B91">
        <v>1</v>
      </c>
      <c r="C91">
        <v>16.5</v>
      </c>
    </row>
    <row r="92" spans="1:3">
      <c r="A92" t="s">
        <v>238</v>
      </c>
      <c r="B92">
        <v>1</v>
      </c>
      <c r="C92">
        <v>27.5</v>
      </c>
    </row>
    <row r="93" spans="1:3">
      <c r="A93" t="s">
        <v>239</v>
      </c>
      <c r="B93">
        <v>2</v>
      </c>
      <c r="C93">
        <v>836</v>
      </c>
    </row>
    <row r="94" spans="1:3">
      <c r="A94" t="s">
        <v>240</v>
      </c>
      <c r="B94">
        <v>75</v>
      </c>
      <c r="C94">
        <v>1237.5</v>
      </c>
    </row>
    <row r="95" spans="1:3">
      <c r="A95" t="s">
        <v>241</v>
      </c>
      <c r="B95">
        <v>1</v>
      </c>
      <c r="C95">
        <v>16.5</v>
      </c>
    </row>
    <row r="96" spans="1:3">
      <c r="A96" t="s">
        <v>242</v>
      </c>
      <c r="B96">
        <v>5</v>
      </c>
      <c r="C96">
        <v>1430</v>
      </c>
    </row>
    <row r="97" spans="1:3">
      <c r="A97" t="s">
        <v>243</v>
      </c>
      <c r="B97">
        <v>5</v>
      </c>
      <c r="C97">
        <v>1320</v>
      </c>
    </row>
    <row r="98" spans="1:3">
      <c r="A98" t="s">
        <v>244</v>
      </c>
      <c r="B98">
        <v>3</v>
      </c>
      <c r="C98">
        <v>49.5</v>
      </c>
    </row>
    <row r="99" spans="1:3">
      <c r="A99" t="s">
        <v>245</v>
      </c>
      <c r="B99">
        <v>3</v>
      </c>
      <c r="C99">
        <v>7.5</v>
      </c>
    </row>
    <row r="100" spans="1:3">
      <c r="A100" t="s">
        <v>246</v>
      </c>
      <c r="B100">
        <v>2</v>
      </c>
      <c r="C100">
        <v>33</v>
      </c>
    </row>
    <row r="101" spans="1:3">
      <c r="A101" t="s">
        <v>247</v>
      </c>
      <c r="B101">
        <v>1</v>
      </c>
      <c r="C101">
        <v>16.5</v>
      </c>
    </row>
    <row r="102" spans="1:3">
      <c r="A102" t="s">
        <v>248</v>
      </c>
      <c r="B102">
        <v>1</v>
      </c>
      <c r="C102">
        <v>66</v>
      </c>
    </row>
    <row r="103" spans="1:3">
      <c r="A103" t="s">
        <v>249</v>
      </c>
      <c r="B103">
        <v>7</v>
      </c>
      <c r="C103">
        <v>1078</v>
      </c>
    </row>
    <row r="104" spans="1:3">
      <c r="A104" t="s">
        <v>250</v>
      </c>
      <c r="B104">
        <v>1</v>
      </c>
      <c r="C104">
        <v>308</v>
      </c>
    </row>
    <row r="105" spans="1:3">
      <c r="A105" t="s">
        <v>251</v>
      </c>
      <c r="B105">
        <v>4</v>
      </c>
      <c r="C105">
        <v>66</v>
      </c>
    </row>
    <row r="106" spans="1:3">
      <c r="A106" t="s">
        <v>252</v>
      </c>
      <c r="B106">
        <v>1</v>
      </c>
      <c r="C106">
        <v>242</v>
      </c>
    </row>
    <row r="107" spans="1:3">
      <c r="A107" t="s">
        <v>111</v>
      </c>
      <c r="B107">
        <v>332</v>
      </c>
      <c r="C107">
        <v>830</v>
      </c>
    </row>
    <row r="108" spans="1:3">
      <c r="A108" t="s">
        <v>253</v>
      </c>
      <c r="B108">
        <v>8</v>
      </c>
      <c r="C108">
        <v>132</v>
      </c>
    </row>
    <row r="109" spans="1:3">
      <c r="A109" t="s">
        <v>254</v>
      </c>
      <c r="B109">
        <v>1</v>
      </c>
      <c r="C109">
        <v>16.5</v>
      </c>
    </row>
    <row r="110" spans="1:3">
      <c r="A110" t="s">
        <v>255</v>
      </c>
      <c r="B110">
        <v>1</v>
      </c>
      <c r="C110">
        <v>77</v>
      </c>
    </row>
    <row r="111" spans="1:3">
      <c r="A111" t="s">
        <v>256</v>
      </c>
      <c r="B111">
        <v>2</v>
      </c>
      <c r="C111">
        <v>242</v>
      </c>
    </row>
    <row r="112" spans="1:3">
      <c r="A112" t="s">
        <v>257</v>
      </c>
      <c r="B112">
        <v>2</v>
      </c>
      <c r="C112">
        <v>44</v>
      </c>
    </row>
    <row r="113" spans="1:3">
      <c r="A113" t="s">
        <v>258</v>
      </c>
      <c r="B113">
        <v>414</v>
      </c>
      <c r="C113">
        <v>66033</v>
      </c>
    </row>
    <row r="114" spans="1:3">
      <c r="A114" t="s">
        <v>259</v>
      </c>
      <c r="B114">
        <v>111</v>
      </c>
      <c r="C114">
        <v>1831.5</v>
      </c>
    </row>
    <row r="115" spans="1:3">
      <c r="A115" t="s">
        <v>260</v>
      </c>
      <c r="B115">
        <v>1</v>
      </c>
      <c r="C115">
        <v>4</v>
      </c>
    </row>
    <row r="116" spans="1:3">
      <c r="A116" t="s">
        <v>261</v>
      </c>
      <c r="B116">
        <v>3</v>
      </c>
      <c r="C116">
        <v>49.5</v>
      </c>
    </row>
    <row r="117" spans="1:3">
      <c r="A117" t="s">
        <v>262</v>
      </c>
      <c r="B117">
        <v>7</v>
      </c>
      <c r="C117">
        <v>847</v>
      </c>
    </row>
    <row r="118" spans="1:3">
      <c r="A118" t="s">
        <v>263</v>
      </c>
      <c r="B118">
        <v>1</v>
      </c>
      <c r="C118">
        <v>16.5</v>
      </c>
    </row>
    <row r="119" spans="1:3">
      <c r="A119" t="s">
        <v>264</v>
      </c>
      <c r="B119">
        <v>1</v>
      </c>
      <c r="C119">
        <v>22</v>
      </c>
    </row>
    <row r="120" spans="1:3">
      <c r="A120" t="s">
        <v>265</v>
      </c>
      <c r="B120">
        <v>10</v>
      </c>
      <c r="C120">
        <v>275</v>
      </c>
    </row>
    <row r="121" spans="1:3">
      <c r="A121" t="s">
        <v>266</v>
      </c>
      <c r="B121">
        <v>1</v>
      </c>
      <c r="C121">
        <v>44</v>
      </c>
    </row>
    <row r="122" spans="1:3">
      <c r="A122" t="s">
        <v>267</v>
      </c>
      <c r="B122">
        <v>8</v>
      </c>
      <c r="C122">
        <v>64</v>
      </c>
    </row>
    <row r="123" spans="1:3">
      <c r="A123" t="s">
        <v>268</v>
      </c>
      <c r="B123">
        <v>6</v>
      </c>
      <c r="C123">
        <v>264</v>
      </c>
    </row>
    <row r="124" spans="1:3">
      <c r="A124" t="s">
        <v>269</v>
      </c>
      <c r="B124">
        <v>7</v>
      </c>
      <c r="C124">
        <v>385</v>
      </c>
    </row>
    <row r="125" spans="1:3">
      <c r="A125" t="s">
        <v>270</v>
      </c>
      <c r="B125">
        <v>1</v>
      </c>
      <c r="C125">
        <v>88</v>
      </c>
    </row>
    <row r="126" spans="1:3">
      <c r="A126" t="s">
        <v>271</v>
      </c>
      <c r="B126">
        <v>2</v>
      </c>
      <c r="C126">
        <v>33</v>
      </c>
    </row>
    <row r="127" spans="1:3">
      <c r="A127" t="s">
        <v>112</v>
      </c>
      <c r="B127">
        <v>283</v>
      </c>
      <c r="C127">
        <v>38912.5</v>
      </c>
    </row>
    <row r="128" spans="1:3">
      <c r="A128" t="s">
        <v>113</v>
      </c>
      <c r="B128">
        <v>2</v>
      </c>
      <c r="C128">
        <v>16</v>
      </c>
    </row>
    <row r="129" spans="1:3">
      <c r="A129" t="s">
        <v>272</v>
      </c>
      <c r="B129">
        <v>81</v>
      </c>
      <c r="C129">
        <v>1336.5</v>
      </c>
    </row>
    <row r="130" spans="1:3">
      <c r="A130" t="s">
        <v>273</v>
      </c>
      <c r="B130">
        <v>38</v>
      </c>
      <c r="C130">
        <v>836</v>
      </c>
    </row>
    <row r="131" spans="1:3">
      <c r="A131" t="s">
        <v>117</v>
      </c>
      <c r="B131">
        <v>58</v>
      </c>
      <c r="C131">
        <v>1740</v>
      </c>
    </row>
    <row r="132" spans="1:3">
      <c r="A132" t="s">
        <v>274</v>
      </c>
      <c r="B132">
        <v>133</v>
      </c>
      <c r="C132">
        <v>332.5</v>
      </c>
    </row>
    <row r="133" spans="1:3">
      <c r="A133" t="s">
        <v>275</v>
      </c>
      <c r="B133">
        <v>150</v>
      </c>
      <c r="C133">
        <v>3750</v>
      </c>
    </row>
    <row r="134" spans="1:3">
      <c r="A134" t="s">
        <v>276</v>
      </c>
      <c r="B134">
        <v>19</v>
      </c>
      <c r="C134">
        <v>3553</v>
      </c>
    </row>
    <row r="135" spans="1:3">
      <c r="A135" t="s">
        <v>277</v>
      </c>
      <c r="B135">
        <v>1</v>
      </c>
      <c r="C135">
        <v>35</v>
      </c>
    </row>
    <row r="136" spans="1:3">
      <c r="A136" t="s">
        <v>278</v>
      </c>
      <c r="B136">
        <v>1</v>
      </c>
      <c r="C136">
        <v>44</v>
      </c>
    </row>
    <row r="137" spans="1:3">
      <c r="A137" t="s">
        <v>279</v>
      </c>
      <c r="B137">
        <v>2</v>
      </c>
      <c r="C137">
        <v>50</v>
      </c>
    </row>
    <row r="138" spans="1:3">
      <c r="A138" t="s">
        <v>280</v>
      </c>
      <c r="B138">
        <v>1</v>
      </c>
      <c r="C138">
        <v>33</v>
      </c>
    </row>
    <row r="139" spans="1:3">
      <c r="A139" t="s">
        <v>281</v>
      </c>
      <c r="B139">
        <v>1</v>
      </c>
      <c r="C139">
        <v>121</v>
      </c>
    </row>
    <row r="140" spans="1:3">
      <c r="A140" t="s">
        <v>282</v>
      </c>
      <c r="B140">
        <v>11</v>
      </c>
      <c r="C140">
        <v>242</v>
      </c>
    </row>
    <row r="141" spans="1:3">
      <c r="A141" t="s">
        <v>283</v>
      </c>
      <c r="B141">
        <v>1</v>
      </c>
      <c r="C141">
        <v>16.5</v>
      </c>
    </row>
    <row r="142" spans="1:3">
      <c r="A142" t="s">
        <v>284</v>
      </c>
      <c r="B142">
        <v>13</v>
      </c>
      <c r="C142">
        <v>214.5</v>
      </c>
    </row>
    <row r="143" spans="1:3">
      <c r="A143" t="s">
        <v>285</v>
      </c>
      <c r="B143">
        <v>8</v>
      </c>
      <c r="C143">
        <v>132</v>
      </c>
    </row>
    <row r="144" spans="1:3">
      <c r="A144" t="s">
        <v>286</v>
      </c>
      <c r="B144">
        <v>1</v>
      </c>
      <c r="C144">
        <v>13.5</v>
      </c>
    </row>
    <row r="145" spans="1:3">
      <c r="A145" t="s">
        <v>287</v>
      </c>
      <c r="B145">
        <v>11</v>
      </c>
      <c r="C145">
        <v>275</v>
      </c>
    </row>
    <row r="146" spans="1:3">
      <c r="A146" t="s">
        <v>288</v>
      </c>
      <c r="B146">
        <v>210</v>
      </c>
      <c r="C146">
        <v>7350</v>
      </c>
    </row>
    <row r="147" spans="1:3">
      <c r="A147" t="s">
        <v>289</v>
      </c>
      <c r="B147">
        <v>513</v>
      </c>
      <c r="C147">
        <v>90288</v>
      </c>
    </row>
    <row r="148" spans="1:3">
      <c r="A148" t="s">
        <v>290</v>
      </c>
      <c r="B148">
        <v>10</v>
      </c>
      <c r="C148">
        <v>40</v>
      </c>
    </row>
    <row r="149" spans="1:3">
      <c r="A149" t="s">
        <v>291</v>
      </c>
      <c r="B149">
        <v>20</v>
      </c>
      <c r="C149">
        <v>500</v>
      </c>
    </row>
    <row r="150" spans="1:3">
      <c r="A150" t="s">
        <v>292</v>
      </c>
      <c r="B150">
        <v>1</v>
      </c>
      <c r="C150">
        <v>121</v>
      </c>
    </row>
    <row r="151" spans="1:3">
      <c r="A151" t="s">
        <v>293</v>
      </c>
      <c r="B151">
        <v>1</v>
      </c>
      <c r="C151">
        <v>16.5</v>
      </c>
    </row>
    <row r="152" spans="1:3">
      <c r="A152" t="s">
        <v>294</v>
      </c>
      <c r="B152">
        <v>3</v>
      </c>
      <c r="C152">
        <v>181.5</v>
      </c>
    </row>
    <row r="153" spans="1:3">
      <c r="A153" t="s">
        <v>295</v>
      </c>
      <c r="B153">
        <v>8</v>
      </c>
      <c r="C153">
        <v>484</v>
      </c>
    </row>
    <row r="154" spans="1:3">
      <c r="A154" t="s">
        <v>296</v>
      </c>
      <c r="B154">
        <v>3</v>
      </c>
      <c r="C154">
        <v>412.5</v>
      </c>
    </row>
    <row r="155" spans="1:3">
      <c r="A155" t="s">
        <v>297</v>
      </c>
      <c r="B155">
        <v>2</v>
      </c>
      <c r="C155">
        <v>143</v>
      </c>
    </row>
    <row r="156" spans="1:3">
      <c r="A156" t="s">
        <v>298</v>
      </c>
      <c r="B156">
        <v>5</v>
      </c>
      <c r="C156">
        <v>539</v>
      </c>
    </row>
    <row r="157" spans="1:3">
      <c r="A157" t="s">
        <v>299</v>
      </c>
      <c r="B157">
        <v>1</v>
      </c>
      <c r="C157">
        <v>71.5</v>
      </c>
    </row>
    <row r="158" spans="1:3">
      <c r="A158" t="s">
        <v>300</v>
      </c>
      <c r="B158">
        <v>1</v>
      </c>
      <c r="C158">
        <v>16.5</v>
      </c>
    </row>
    <row r="159" spans="1:3">
      <c r="A159" t="s">
        <v>301</v>
      </c>
      <c r="B159">
        <v>1</v>
      </c>
      <c r="C159">
        <v>66</v>
      </c>
    </row>
    <row r="160" spans="1:3">
      <c r="A160" t="s">
        <v>127</v>
      </c>
      <c r="B160">
        <v>17</v>
      </c>
      <c r="C160">
        <v>280.5</v>
      </c>
    </row>
    <row r="161" spans="1:3">
      <c r="A161" t="s">
        <v>302</v>
      </c>
      <c r="B161">
        <v>17</v>
      </c>
      <c r="C161">
        <v>280.5</v>
      </c>
    </row>
    <row r="162" spans="1:3">
      <c r="A162" t="s">
        <v>303</v>
      </c>
      <c r="B162">
        <v>120</v>
      </c>
      <c r="C162">
        <v>1980</v>
      </c>
    </row>
    <row r="163" spans="1:3">
      <c r="A163" t="s">
        <v>304</v>
      </c>
      <c r="B163">
        <v>61</v>
      </c>
      <c r="C163">
        <v>1006.5</v>
      </c>
    </row>
    <row r="164" spans="1:3">
      <c r="A164" t="s">
        <v>305</v>
      </c>
      <c r="B164">
        <v>1</v>
      </c>
      <c r="C164">
        <v>33</v>
      </c>
    </row>
    <row r="165" spans="1:3">
      <c r="A165" t="s">
        <v>306</v>
      </c>
      <c r="B165">
        <v>8</v>
      </c>
      <c r="C165">
        <v>132</v>
      </c>
    </row>
    <row r="166" spans="1:3">
      <c r="A166" t="s">
        <v>307</v>
      </c>
      <c r="B166">
        <v>1</v>
      </c>
      <c r="C166">
        <v>16.5</v>
      </c>
    </row>
    <row r="167" spans="1:3">
      <c r="A167" t="s">
        <v>308</v>
      </c>
      <c r="B167">
        <v>1</v>
      </c>
      <c r="C167">
        <v>35</v>
      </c>
    </row>
    <row r="168" spans="1:3">
      <c r="A168" t="s">
        <v>140</v>
      </c>
      <c r="B168">
        <v>17</v>
      </c>
      <c r="C168">
        <v>280.5</v>
      </c>
    </row>
    <row r="169" spans="1:3">
      <c r="A169" t="s">
        <v>309</v>
      </c>
      <c r="B169">
        <v>19</v>
      </c>
      <c r="C169">
        <v>313.5</v>
      </c>
    </row>
    <row r="170" spans="1:3">
      <c r="A170" t="s">
        <v>310</v>
      </c>
      <c r="B170">
        <v>3</v>
      </c>
      <c r="C170">
        <v>49.5</v>
      </c>
    </row>
    <row r="171" spans="1:3">
      <c r="A171" t="s">
        <v>311</v>
      </c>
      <c r="B171">
        <v>11</v>
      </c>
      <c r="C171">
        <v>2057</v>
      </c>
    </row>
    <row r="172" spans="1:3">
      <c r="A172" t="s">
        <v>312</v>
      </c>
      <c r="B172">
        <v>56</v>
      </c>
      <c r="C172">
        <v>3696</v>
      </c>
    </row>
    <row r="173" spans="1:3">
      <c r="A173" t="s">
        <v>313</v>
      </c>
      <c r="B173">
        <v>1</v>
      </c>
      <c r="C173">
        <v>555.5</v>
      </c>
    </row>
    <row r="174" spans="1:3">
      <c r="A174" t="s">
        <v>314</v>
      </c>
      <c r="B174">
        <v>1</v>
      </c>
      <c r="C174">
        <v>16.5</v>
      </c>
    </row>
    <row r="175" spans="1:3">
      <c r="A175" t="s">
        <v>315</v>
      </c>
      <c r="B175">
        <v>1</v>
      </c>
      <c r="C175">
        <v>16.5</v>
      </c>
    </row>
    <row r="176" spans="1:3">
      <c r="A176" t="s">
        <v>142</v>
      </c>
    </row>
    <row r="177" spans="1:3">
      <c r="A177" t="s">
        <v>61</v>
      </c>
      <c r="B177">
        <v>3875</v>
      </c>
      <c r="C177">
        <v>267087.5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1794"/>
  <sheetViews>
    <sheetView tabSelected="1" workbookViewId="0">
      <selection activeCell="G565" sqref="G565"/>
    </sheetView>
  </sheetViews>
  <sheetFormatPr defaultColWidth="9" defaultRowHeight="13.5"/>
  <cols>
    <col min="1" max="1" width="9.28333333333333" customWidth="1"/>
    <col min="2" max="2" width="8.93333333333333" customWidth="1"/>
    <col min="3" max="3" width="14.95" customWidth="1"/>
    <col min="4" max="4" width="9.36666666666667" customWidth="1"/>
    <col min="5" max="5" width="24.8166666666667" customWidth="1"/>
    <col min="6" max="6" width="6.475" customWidth="1"/>
    <col min="7" max="7" width="12.2083333333333" customWidth="1"/>
    <col min="8" max="8" width="12.375" customWidth="1"/>
  </cols>
  <sheetData>
    <row r="1" spans="1:8">
      <c r="A1" s="1" t="s">
        <v>143</v>
      </c>
      <c r="B1" s="1" t="s">
        <v>144</v>
      </c>
      <c r="C1" s="1" t="s">
        <v>145</v>
      </c>
      <c r="D1" s="1" t="s">
        <v>146</v>
      </c>
      <c r="E1" s="1" t="s">
        <v>62</v>
      </c>
      <c r="F1" s="1" t="s">
        <v>147</v>
      </c>
      <c r="G1" s="1" t="s">
        <v>148</v>
      </c>
      <c r="H1" s="1" t="s">
        <v>149</v>
      </c>
    </row>
    <row r="2" customFormat="1" hidden="1" spans="1:8">
      <c r="A2" s="2">
        <v>46151</v>
      </c>
      <c r="B2" s="3">
        <v>1601576</v>
      </c>
      <c r="C2" s="3" t="s">
        <v>150</v>
      </c>
      <c r="D2" s="4">
        <v>20321476</v>
      </c>
      <c r="E2" s="3" t="s">
        <v>161</v>
      </c>
      <c r="F2" s="4">
        <v>1</v>
      </c>
      <c r="G2" s="5">
        <v>55</v>
      </c>
      <c r="H2" s="5">
        <f t="shared" ref="H2:H65" si="0">G2*F2</f>
        <v>55</v>
      </c>
    </row>
    <row r="3" customFormat="1" hidden="1" spans="1:8">
      <c r="A3" s="2">
        <v>46151</v>
      </c>
      <c r="B3" s="3">
        <v>1601576</v>
      </c>
      <c r="C3" s="3" t="s">
        <v>150</v>
      </c>
      <c r="D3" s="4">
        <v>20321252</v>
      </c>
      <c r="E3" s="3" t="s">
        <v>162</v>
      </c>
      <c r="F3" s="4">
        <v>1</v>
      </c>
      <c r="G3" s="5">
        <v>49.5</v>
      </c>
      <c r="H3" s="5">
        <f t="shared" si="0"/>
        <v>49.5</v>
      </c>
    </row>
    <row r="4" customFormat="1" hidden="1" spans="1:8">
      <c r="A4" s="2">
        <v>46151</v>
      </c>
      <c r="B4" s="3">
        <v>1601576</v>
      </c>
      <c r="C4" s="3" t="s">
        <v>150</v>
      </c>
      <c r="D4" s="4">
        <v>20322048</v>
      </c>
      <c r="E4" s="3" t="s">
        <v>203</v>
      </c>
      <c r="F4" s="4">
        <v>1</v>
      </c>
      <c r="G4" s="5">
        <v>170.5</v>
      </c>
      <c r="H4" s="5">
        <f t="shared" si="0"/>
        <v>170.5</v>
      </c>
    </row>
    <row r="5" customFormat="1" hidden="1" spans="1:8">
      <c r="A5" s="2">
        <v>46151</v>
      </c>
      <c r="B5" s="3">
        <v>1601576</v>
      </c>
      <c r="C5" s="3" t="s">
        <v>150</v>
      </c>
      <c r="D5" s="4">
        <v>20380117</v>
      </c>
      <c r="E5" s="3" t="s">
        <v>225</v>
      </c>
      <c r="F5" s="4">
        <v>1</v>
      </c>
      <c r="G5" s="5">
        <v>49.5</v>
      </c>
      <c r="H5" s="5">
        <f t="shared" si="0"/>
        <v>49.5</v>
      </c>
    </row>
    <row r="6" customFormat="1" hidden="1" spans="1:8">
      <c r="A6" s="2">
        <v>46151</v>
      </c>
      <c r="B6" s="3">
        <v>1601576</v>
      </c>
      <c r="C6" s="3" t="s">
        <v>150</v>
      </c>
      <c r="D6" s="4">
        <v>20312966</v>
      </c>
      <c r="E6" s="3" t="s">
        <v>258</v>
      </c>
      <c r="F6" s="4">
        <v>2</v>
      </c>
      <c r="G6" s="5">
        <v>159.5</v>
      </c>
      <c r="H6" s="5">
        <f t="shared" si="0"/>
        <v>319</v>
      </c>
    </row>
    <row r="7" customFormat="1" hidden="1" spans="1:8">
      <c r="A7" s="2">
        <v>46151</v>
      </c>
      <c r="B7" s="3">
        <v>1601576</v>
      </c>
      <c r="C7" s="3" t="s">
        <v>150</v>
      </c>
      <c r="D7" s="4">
        <v>20327194</v>
      </c>
      <c r="E7" s="3" t="s">
        <v>265</v>
      </c>
      <c r="F7" s="4">
        <v>1</v>
      </c>
      <c r="G7" s="5">
        <f>5*5.5</f>
        <v>27.5</v>
      </c>
      <c r="H7" s="5">
        <f t="shared" si="0"/>
        <v>27.5</v>
      </c>
    </row>
    <row r="8" customFormat="1" hidden="1" spans="1:8">
      <c r="A8" s="2">
        <v>46151</v>
      </c>
      <c r="B8" s="3">
        <v>1601576</v>
      </c>
      <c r="C8" s="3" t="s">
        <v>150</v>
      </c>
      <c r="D8" s="4">
        <v>20312965</v>
      </c>
      <c r="E8" s="3" t="s">
        <v>112</v>
      </c>
      <c r="F8" s="4">
        <v>2</v>
      </c>
      <c r="G8" s="5">
        <v>137.5</v>
      </c>
      <c r="H8" s="5">
        <f t="shared" si="0"/>
        <v>275</v>
      </c>
    </row>
    <row r="9" customFormat="1" hidden="1" spans="1:8">
      <c r="A9" s="2">
        <v>46151</v>
      </c>
      <c r="B9" s="3">
        <v>1601576</v>
      </c>
      <c r="C9" s="3" t="s">
        <v>150</v>
      </c>
      <c r="D9" s="4">
        <v>20312967</v>
      </c>
      <c r="E9" s="3" t="s">
        <v>289</v>
      </c>
      <c r="F9" s="4">
        <v>5</v>
      </c>
      <c r="G9" s="5">
        <v>176</v>
      </c>
      <c r="H9" s="5">
        <f t="shared" si="0"/>
        <v>880</v>
      </c>
    </row>
    <row r="10" customFormat="1" hidden="1" spans="1:8">
      <c r="A10" s="2">
        <v>46151</v>
      </c>
      <c r="B10" s="3">
        <v>1601576</v>
      </c>
      <c r="C10" s="3" t="s">
        <v>151</v>
      </c>
      <c r="D10" s="4">
        <v>20318363</v>
      </c>
      <c r="E10" s="3" t="s">
        <v>94</v>
      </c>
      <c r="F10" s="4">
        <v>1</v>
      </c>
      <c r="G10" s="5">
        <v>8</v>
      </c>
      <c r="H10" s="5">
        <f t="shared" si="0"/>
        <v>8</v>
      </c>
    </row>
    <row r="11" customFormat="1" hidden="1" spans="1:8">
      <c r="A11" s="2">
        <v>46151</v>
      </c>
      <c r="B11" s="3">
        <v>1601576</v>
      </c>
      <c r="C11" s="3" t="s">
        <v>151</v>
      </c>
      <c r="D11" s="4">
        <v>20420885</v>
      </c>
      <c r="E11" s="3" t="s">
        <v>246</v>
      </c>
      <c r="F11" s="4">
        <v>1</v>
      </c>
      <c r="G11" s="5">
        <v>16.5</v>
      </c>
      <c r="H11" s="5">
        <f t="shared" si="0"/>
        <v>16.5</v>
      </c>
    </row>
    <row r="12" customFormat="1" hidden="1" spans="1:8">
      <c r="A12" s="2">
        <v>46151</v>
      </c>
      <c r="B12" s="3">
        <v>1601576</v>
      </c>
      <c r="C12" s="3" t="s">
        <v>156</v>
      </c>
      <c r="D12" s="4">
        <v>20322304</v>
      </c>
      <c r="E12" s="3" t="s">
        <v>275</v>
      </c>
      <c r="F12" s="4">
        <v>7</v>
      </c>
      <c r="G12" s="5">
        <v>25</v>
      </c>
      <c r="H12" s="5">
        <f t="shared" si="0"/>
        <v>175</v>
      </c>
    </row>
    <row r="13" customFormat="1" hidden="1" spans="1:8">
      <c r="A13" s="2">
        <v>46151</v>
      </c>
      <c r="B13" s="3">
        <v>1601576</v>
      </c>
      <c r="C13" s="3" t="s">
        <v>153</v>
      </c>
      <c r="D13" s="4">
        <v>20321257</v>
      </c>
      <c r="E13" s="3" t="s">
        <v>68</v>
      </c>
      <c r="F13" s="4">
        <v>10</v>
      </c>
      <c r="G13" s="5">
        <v>16.5</v>
      </c>
      <c r="H13" s="5">
        <f t="shared" si="0"/>
        <v>165</v>
      </c>
    </row>
    <row r="14" customFormat="1" hidden="1" spans="1:8">
      <c r="A14" s="2">
        <v>46151</v>
      </c>
      <c r="B14" s="3">
        <v>1601576</v>
      </c>
      <c r="C14" s="3" t="s">
        <v>153</v>
      </c>
      <c r="D14" s="4">
        <v>20318334</v>
      </c>
      <c r="E14" s="3" t="s">
        <v>186</v>
      </c>
      <c r="F14" s="4">
        <v>1</v>
      </c>
      <c r="G14" s="5">
        <v>16.5</v>
      </c>
      <c r="H14" s="5">
        <f t="shared" si="0"/>
        <v>16.5</v>
      </c>
    </row>
    <row r="15" customFormat="1" hidden="1" spans="1:8">
      <c r="A15" s="2">
        <v>46151</v>
      </c>
      <c r="B15" s="3">
        <v>1601576</v>
      </c>
      <c r="C15" s="3" t="s">
        <v>153</v>
      </c>
      <c r="D15" s="4">
        <v>20318340</v>
      </c>
      <c r="E15" s="3" t="s">
        <v>240</v>
      </c>
      <c r="F15" s="4">
        <v>1</v>
      </c>
      <c r="G15" s="5">
        <v>16.5</v>
      </c>
      <c r="H15" s="5">
        <f t="shared" si="0"/>
        <v>16.5</v>
      </c>
    </row>
    <row r="16" customFormat="1" hidden="1" spans="1:8">
      <c r="A16" s="2">
        <v>46151</v>
      </c>
      <c r="B16" s="3">
        <v>1601576</v>
      </c>
      <c r="C16" s="3" t="s">
        <v>153</v>
      </c>
      <c r="D16" s="4">
        <v>20321250</v>
      </c>
      <c r="E16" s="3" t="s">
        <v>259</v>
      </c>
      <c r="F16" s="4">
        <v>3</v>
      </c>
      <c r="G16" s="5">
        <v>16.5</v>
      </c>
      <c r="H16" s="5">
        <f t="shared" si="0"/>
        <v>49.5</v>
      </c>
    </row>
    <row r="17" customFormat="1" hidden="1" spans="1:8">
      <c r="A17" s="2">
        <v>46151</v>
      </c>
      <c r="B17" s="3">
        <v>1601576</v>
      </c>
      <c r="C17" s="3" t="s">
        <v>153</v>
      </c>
      <c r="D17" s="4">
        <v>20318389</v>
      </c>
      <c r="E17" s="3" t="s">
        <v>302</v>
      </c>
      <c r="F17" s="4">
        <v>1</v>
      </c>
      <c r="G17" s="5">
        <v>16.5</v>
      </c>
      <c r="H17" s="5">
        <f t="shared" si="0"/>
        <v>16.5</v>
      </c>
    </row>
    <row r="18" customFormat="1" hidden="1" spans="1:8">
      <c r="A18" s="2">
        <v>46151</v>
      </c>
      <c r="B18" s="3">
        <v>1601577</v>
      </c>
      <c r="C18" s="3" t="s">
        <v>151</v>
      </c>
      <c r="D18" s="4">
        <v>20411174</v>
      </c>
      <c r="E18" s="3" t="s">
        <v>164</v>
      </c>
      <c r="F18" s="4">
        <v>1</v>
      </c>
      <c r="G18" s="5">
        <f>5.5+5.5+5.5</f>
        <v>16.5</v>
      </c>
      <c r="H18" s="5">
        <f t="shared" si="0"/>
        <v>16.5</v>
      </c>
    </row>
    <row r="19" customFormat="1" hidden="1" spans="1:8">
      <c r="A19" s="2">
        <v>46151</v>
      </c>
      <c r="B19" s="3">
        <v>1601577</v>
      </c>
      <c r="C19" s="3" t="s">
        <v>151</v>
      </c>
      <c r="D19" s="4">
        <v>20318363</v>
      </c>
      <c r="E19" s="3" t="s">
        <v>94</v>
      </c>
      <c r="F19" s="4">
        <v>1</v>
      </c>
      <c r="G19" s="5">
        <v>8</v>
      </c>
      <c r="H19" s="5">
        <f t="shared" si="0"/>
        <v>8</v>
      </c>
    </row>
    <row r="20" customFormat="1" hidden="1" spans="1:8">
      <c r="A20" s="2">
        <v>46151</v>
      </c>
      <c r="B20" s="3">
        <v>1601577</v>
      </c>
      <c r="C20" s="3" t="s">
        <v>151</v>
      </c>
      <c r="D20" s="4">
        <v>20340288</v>
      </c>
      <c r="E20" s="3" t="s">
        <v>282</v>
      </c>
      <c r="F20" s="4">
        <v>1</v>
      </c>
      <c r="G20" s="5">
        <v>22</v>
      </c>
      <c r="H20" s="5">
        <f t="shared" si="0"/>
        <v>22</v>
      </c>
    </row>
    <row r="21" customFormat="1" hidden="1" spans="1:8">
      <c r="A21" s="2">
        <v>46151</v>
      </c>
      <c r="B21" s="3">
        <v>1601577</v>
      </c>
      <c r="C21" s="3" t="s">
        <v>156</v>
      </c>
      <c r="D21" s="4">
        <v>20322243</v>
      </c>
      <c r="E21" s="3" t="s">
        <v>117</v>
      </c>
      <c r="F21" s="4">
        <v>1</v>
      </c>
      <c r="G21" s="5">
        <v>30</v>
      </c>
      <c r="H21" s="5">
        <f t="shared" si="0"/>
        <v>30</v>
      </c>
    </row>
    <row r="22" customFormat="1" hidden="1" spans="1:8">
      <c r="A22" s="2">
        <v>46151</v>
      </c>
      <c r="B22" s="3">
        <v>1601577</v>
      </c>
      <c r="C22" s="3" t="s">
        <v>156</v>
      </c>
      <c r="D22" s="4">
        <v>20330757</v>
      </c>
      <c r="E22" s="3" t="s">
        <v>288</v>
      </c>
      <c r="F22" s="4">
        <v>6</v>
      </c>
      <c r="G22" s="5">
        <v>35</v>
      </c>
      <c r="H22" s="5">
        <f t="shared" si="0"/>
        <v>210</v>
      </c>
    </row>
    <row r="23" customFormat="1" hidden="1" spans="1:8">
      <c r="A23" s="2">
        <v>46151</v>
      </c>
      <c r="B23" s="3">
        <v>1601577</v>
      </c>
      <c r="C23" s="3" t="s">
        <v>156</v>
      </c>
      <c r="D23" s="4">
        <v>20323697</v>
      </c>
      <c r="E23" s="3" t="s">
        <v>290</v>
      </c>
      <c r="F23" s="4">
        <v>1</v>
      </c>
      <c r="G23" s="5">
        <v>4</v>
      </c>
      <c r="H23" s="5">
        <f t="shared" si="0"/>
        <v>4</v>
      </c>
    </row>
    <row r="24" customFormat="1" hidden="1" spans="1:8">
      <c r="A24" s="2">
        <v>46151</v>
      </c>
      <c r="B24" s="3">
        <v>1601577</v>
      </c>
      <c r="C24" s="3" t="s">
        <v>153</v>
      </c>
      <c r="D24" s="4">
        <v>20318334</v>
      </c>
      <c r="E24" s="3" t="s">
        <v>186</v>
      </c>
      <c r="F24" s="4">
        <v>1</v>
      </c>
      <c r="G24" s="5">
        <v>16.5</v>
      </c>
      <c r="H24" s="5">
        <f t="shared" si="0"/>
        <v>16.5</v>
      </c>
    </row>
    <row r="25" customFormat="1" hidden="1" spans="1:8">
      <c r="A25" s="2">
        <v>46151</v>
      </c>
      <c r="B25" s="3">
        <v>1601579</v>
      </c>
      <c r="C25" s="3" t="s">
        <v>150</v>
      </c>
      <c r="D25" s="4">
        <v>20312966</v>
      </c>
      <c r="E25" s="3" t="s">
        <v>258</v>
      </c>
      <c r="F25" s="4">
        <v>5</v>
      </c>
      <c r="G25" s="5">
        <v>159.5</v>
      </c>
      <c r="H25" s="5">
        <f t="shared" si="0"/>
        <v>797.5</v>
      </c>
    </row>
    <row r="26" customFormat="1" hidden="1" spans="1:8">
      <c r="A26" s="2">
        <v>46151</v>
      </c>
      <c r="B26" s="3">
        <v>1601579</v>
      </c>
      <c r="C26" s="3" t="s">
        <v>150</v>
      </c>
      <c r="D26" s="4">
        <v>20312965</v>
      </c>
      <c r="E26" s="3" t="s">
        <v>112</v>
      </c>
      <c r="F26" s="4">
        <v>1</v>
      </c>
      <c r="G26" s="5">
        <v>137.5</v>
      </c>
      <c r="H26" s="5">
        <f t="shared" si="0"/>
        <v>137.5</v>
      </c>
    </row>
    <row r="27" customFormat="1" hidden="1" spans="1:8">
      <c r="A27" s="2">
        <v>46151</v>
      </c>
      <c r="B27" s="3">
        <v>1601579</v>
      </c>
      <c r="C27" s="3" t="s">
        <v>150</v>
      </c>
      <c r="D27" s="4">
        <v>20312968</v>
      </c>
      <c r="E27" s="3" t="s">
        <v>276</v>
      </c>
      <c r="F27" s="4">
        <v>1</v>
      </c>
      <c r="G27" s="5">
        <v>187</v>
      </c>
      <c r="H27" s="5">
        <f t="shared" si="0"/>
        <v>187</v>
      </c>
    </row>
    <row r="28" customFormat="1" hidden="1" spans="1:8">
      <c r="A28" s="2">
        <v>46151</v>
      </c>
      <c r="B28" s="3">
        <v>1601579</v>
      </c>
      <c r="C28" s="3" t="s">
        <v>150</v>
      </c>
      <c r="D28" s="4">
        <v>20312967</v>
      </c>
      <c r="E28" s="3" t="s">
        <v>289</v>
      </c>
      <c r="F28" s="4">
        <v>3</v>
      </c>
      <c r="G28" s="5">
        <v>176</v>
      </c>
      <c r="H28" s="5">
        <f t="shared" si="0"/>
        <v>528</v>
      </c>
    </row>
    <row r="29" customFormat="1" hidden="1" spans="1:8">
      <c r="A29" s="2">
        <v>46151</v>
      </c>
      <c r="B29" s="3">
        <v>1601579</v>
      </c>
      <c r="C29" s="3" t="s">
        <v>150</v>
      </c>
      <c r="D29" s="4">
        <v>20408959</v>
      </c>
      <c r="E29" s="3" t="s">
        <v>294</v>
      </c>
      <c r="F29" s="4">
        <v>1</v>
      </c>
      <c r="G29" s="5">
        <v>60.5</v>
      </c>
      <c r="H29" s="5">
        <f t="shared" si="0"/>
        <v>60.5</v>
      </c>
    </row>
    <row r="30" customFormat="1" hidden="1" spans="1:8">
      <c r="A30" s="2">
        <v>46151</v>
      </c>
      <c r="B30" s="3">
        <v>1601579</v>
      </c>
      <c r="C30" s="3" t="s">
        <v>151</v>
      </c>
      <c r="D30" s="4">
        <v>20424696</v>
      </c>
      <c r="E30" s="3" t="s">
        <v>238</v>
      </c>
      <c r="F30" s="4">
        <v>1</v>
      </c>
      <c r="G30" s="5">
        <v>27.5</v>
      </c>
      <c r="H30" s="5">
        <f t="shared" si="0"/>
        <v>27.5</v>
      </c>
    </row>
    <row r="31" customFormat="1" hidden="1" spans="1:8">
      <c r="A31" s="2">
        <v>46151</v>
      </c>
      <c r="B31" s="3">
        <v>1601579</v>
      </c>
      <c r="C31" s="3" t="s">
        <v>156</v>
      </c>
      <c r="D31" s="4">
        <v>20322235</v>
      </c>
      <c r="E31" s="3" t="s">
        <v>111</v>
      </c>
      <c r="F31" s="4">
        <v>6</v>
      </c>
      <c r="G31" s="5">
        <v>2.5</v>
      </c>
      <c r="H31" s="5">
        <f t="shared" si="0"/>
        <v>15</v>
      </c>
    </row>
    <row r="32" customFormat="1" hidden="1" spans="1:8">
      <c r="A32" s="2">
        <v>46151</v>
      </c>
      <c r="B32" s="3">
        <v>1601579</v>
      </c>
      <c r="C32" s="3" t="s">
        <v>153</v>
      </c>
      <c r="D32" s="4">
        <v>20321257</v>
      </c>
      <c r="E32" s="3" t="s">
        <v>68</v>
      </c>
      <c r="F32" s="4">
        <v>3</v>
      </c>
      <c r="G32" s="5">
        <v>16.5</v>
      </c>
      <c r="H32" s="5">
        <f t="shared" si="0"/>
        <v>49.5</v>
      </c>
    </row>
    <row r="33" customFormat="1" hidden="1" spans="1:8">
      <c r="A33" s="2">
        <v>46151</v>
      </c>
      <c r="B33" s="3">
        <v>1601579</v>
      </c>
      <c r="C33" s="3" t="s">
        <v>153</v>
      </c>
      <c r="D33" s="4">
        <v>20318361</v>
      </c>
      <c r="E33" s="3" t="s">
        <v>185</v>
      </c>
      <c r="F33" s="4">
        <v>1</v>
      </c>
      <c r="G33" s="5">
        <v>16.5</v>
      </c>
      <c r="H33" s="5">
        <f t="shared" si="0"/>
        <v>16.5</v>
      </c>
    </row>
    <row r="34" customFormat="1" hidden="1" spans="1:8">
      <c r="A34" s="2">
        <v>46151</v>
      </c>
      <c r="B34" s="3">
        <v>1601579</v>
      </c>
      <c r="C34" s="3" t="s">
        <v>153</v>
      </c>
      <c r="D34" s="4">
        <v>20369096</v>
      </c>
      <c r="E34" s="3" t="s">
        <v>224</v>
      </c>
      <c r="F34" s="4">
        <v>1</v>
      </c>
      <c r="G34" s="5">
        <v>16.5</v>
      </c>
      <c r="H34" s="5">
        <f t="shared" si="0"/>
        <v>16.5</v>
      </c>
    </row>
    <row r="35" customFormat="1" hidden="1" spans="1:8">
      <c r="A35" s="2">
        <v>46151</v>
      </c>
      <c r="B35" s="3">
        <v>1601579</v>
      </c>
      <c r="C35" s="3" t="s">
        <v>153</v>
      </c>
      <c r="D35" s="4">
        <v>20318378</v>
      </c>
      <c r="E35" s="3" t="s">
        <v>231</v>
      </c>
      <c r="F35" s="4">
        <v>1</v>
      </c>
      <c r="G35" s="5">
        <v>16.5</v>
      </c>
      <c r="H35" s="5">
        <f t="shared" si="0"/>
        <v>16.5</v>
      </c>
    </row>
    <row r="36" customFormat="1" hidden="1" spans="1:8">
      <c r="A36" s="2">
        <v>46151</v>
      </c>
      <c r="B36" s="3">
        <v>1601579</v>
      </c>
      <c r="C36" s="3" t="s">
        <v>153</v>
      </c>
      <c r="D36" s="4">
        <v>20318380</v>
      </c>
      <c r="E36" s="3" t="s">
        <v>232</v>
      </c>
      <c r="F36" s="4">
        <v>2</v>
      </c>
      <c r="G36" s="5">
        <v>16.5</v>
      </c>
      <c r="H36" s="5">
        <f t="shared" si="0"/>
        <v>33</v>
      </c>
    </row>
    <row r="37" customFormat="1" hidden="1" spans="1:8">
      <c r="A37" s="2">
        <v>46151</v>
      </c>
      <c r="B37" s="3">
        <v>1601579</v>
      </c>
      <c r="C37" s="3" t="s">
        <v>153</v>
      </c>
      <c r="D37" s="4">
        <v>20318340</v>
      </c>
      <c r="E37" s="3" t="s">
        <v>240</v>
      </c>
      <c r="F37" s="4">
        <v>2</v>
      </c>
      <c r="G37" s="5">
        <v>16.5</v>
      </c>
      <c r="H37" s="5">
        <f t="shared" si="0"/>
        <v>33</v>
      </c>
    </row>
    <row r="38" customFormat="1" hidden="1" spans="1:8">
      <c r="A38" s="2">
        <v>46151</v>
      </c>
      <c r="B38" s="3">
        <v>1601579</v>
      </c>
      <c r="C38" s="3" t="s">
        <v>153</v>
      </c>
      <c r="D38" s="4">
        <v>20374808</v>
      </c>
      <c r="E38" s="3" t="s">
        <v>253</v>
      </c>
      <c r="F38" s="4">
        <v>1</v>
      </c>
      <c r="G38" s="5">
        <v>16.5</v>
      </c>
      <c r="H38" s="5">
        <f t="shared" si="0"/>
        <v>16.5</v>
      </c>
    </row>
    <row r="39" customFormat="1" hidden="1" spans="1:8">
      <c r="A39" s="2">
        <v>46151</v>
      </c>
      <c r="B39" s="3">
        <v>1601579</v>
      </c>
      <c r="C39" s="3" t="s">
        <v>153</v>
      </c>
      <c r="D39" s="4">
        <v>20321250</v>
      </c>
      <c r="E39" s="3" t="s">
        <v>259</v>
      </c>
      <c r="F39" s="4">
        <v>3</v>
      </c>
      <c r="G39" s="5">
        <v>16.5</v>
      </c>
      <c r="H39" s="5">
        <f t="shared" si="0"/>
        <v>49.5</v>
      </c>
    </row>
    <row r="40" customFormat="1" hidden="1" spans="1:8">
      <c r="A40" s="2">
        <v>46151</v>
      </c>
      <c r="B40" s="3">
        <v>1601579</v>
      </c>
      <c r="C40" s="3" t="s">
        <v>153</v>
      </c>
      <c r="D40" s="4">
        <v>20340289</v>
      </c>
      <c r="E40" s="3" t="s">
        <v>272</v>
      </c>
      <c r="F40" s="4">
        <v>3</v>
      </c>
      <c r="G40" s="5">
        <v>16.5</v>
      </c>
      <c r="H40" s="5">
        <f t="shared" si="0"/>
        <v>49.5</v>
      </c>
    </row>
    <row r="41" customFormat="1" hidden="1" spans="1:8">
      <c r="A41" s="2">
        <v>46151</v>
      </c>
      <c r="B41" s="3">
        <v>1601579</v>
      </c>
      <c r="C41" s="3" t="s">
        <v>153</v>
      </c>
      <c r="D41" s="4">
        <v>20383164</v>
      </c>
      <c r="E41" s="3" t="s">
        <v>273</v>
      </c>
      <c r="F41" s="4">
        <v>1</v>
      </c>
      <c r="G41" s="5">
        <v>22</v>
      </c>
      <c r="H41" s="5">
        <f t="shared" si="0"/>
        <v>22</v>
      </c>
    </row>
    <row r="42" customFormat="1" hidden="1" spans="1:8">
      <c r="A42" s="2">
        <v>46151</v>
      </c>
      <c r="B42" s="3">
        <v>1601579</v>
      </c>
      <c r="C42" s="3" t="s">
        <v>153</v>
      </c>
      <c r="D42" s="4">
        <v>20414408</v>
      </c>
      <c r="E42" s="3" t="s">
        <v>283</v>
      </c>
      <c r="F42" s="4">
        <v>1</v>
      </c>
      <c r="G42" s="5">
        <v>16.5</v>
      </c>
      <c r="H42" s="5">
        <f t="shared" si="0"/>
        <v>16.5</v>
      </c>
    </row>
    <row r="43" customFormat="1" hidden="1" spans="1:8">
      <c r="A43" s="2">
        <v>46151</v>
      </c>
      <c r="B43" s="3">
        <v>1601579</v>
      </c>
      <c r="C43" s="3" t="s">
        <v>153</v>
      </c>
      <c r="D43" s="4">
        <v>20318379</v>
      </c>
      <c r="E43" s="3" t="s">
        <v>127</v>
      </c>
      <c r="F43" s="4">
        <v>2</v>
      </c>
      <c r="G43" s="5">
        <v>16.5</v>
      </c>
      <c r="H43" s="5">
        <f t="shared" si="0"/>
        <v>33</v>
      </c>
    </row>
    <row r="44" customFormat="1" hidden="1" spans="1:8">
      <c r="A44" s="2">
        <v>46151</v>
      </c>
      <c r="B44" s="3">
        <v>1601579</v>
      </c>
      <c r="C44" s="3" t="s">
        <v>153</v>
      </c>
      <c r="D44" s="4">
        <v>20318336</v>
      </c>
      <c r="E44" s="3" t="s">
        <v>303</v>
      </c>
      <c r="F44" s="4">
        <v>3</v>
      </c>
      <c r="G44" s="5">
        <v>16.5</v>
      </c>
      <c r="H44" s="5">
        <f t="shared" si="0"/>
        <v>49.5</v>
      </c>
    </row>
    <row r="45" customFormat="1" hidden="1" spans="1:8">
      <c r="A45" s="2">
        <v>46151</v>
      </c>
      <c r="B45" s="3">
        <v>1601599</v>
      </c>
      <c r="C45" s="3" t="s">
        <v>150</v>
      </c>
      <c r="D45" s="4">
        <v>20312966</v>
      </c>
      <c r="E45" s="3" t="s">
        <v>258</v>
      </c>
      <c r="F45" s="4">
        <v>1</v>
      </c>
      <c r="G45" s="5">
        <v>159.5</v>
      </c>
      <c r="H45" s="5">
        <f t="shared" si="0"/>
        <v>159.5</v>
      </c>
    </row>
    <row r="46" customFormat="1" hidden="1" spans="1:8">
      <c r="A46" s="2">
        <v>46151</v>
      </c>
      <c r="B46" s="3">
        <v>1601599</v>
      </c>
      <c r="C46" s="3" t="s">
        <v>150</v>
      </c>
      <c r="D46" s="4">
        <v>20312967</v>
      </c>
      <c r="E46" s="3" t="s">
        <v>289</v>
      </c>
      <c r="F46" s="4">
        <v>2</v>
      </c>
      <c r="G46" s="5">
        <v>176</v>
      </c>
      <c r="H46" s="5">
        <f t="shared" si="0"/>
        <v>352</v>
      </c>
    </row>
    <row r="47" customFormat="1" hidden="1" spans="1:8">
      <c r="A47" s="2">
        <v>46151</v>
      </c>
      <c r="B47" s="3">
        <v>1601599</v>
      </c>
      <c r="C47" s="3" t="s">
        <v>152</v>
      </c>
      <c r="D47" s="4">
        <v>20366063</v>
      </c>
      <c r="E47" s="3" t="s">
        <v>193</v>
      </c>
      <c r="F47" s="4">
        <v>1</v>
      </c>
      <c r="G47" s="5">
        <v>66</v>
      </c>
      <c r="H47" s="5">
        <f t="shared" si="0"/>
        <v>66</v>
      </c>
    </row>
    <row r="48" customFormat="1" hidden="1" spans="1:8">
      <c r="A48" s="2">
        <v>46151</v>
      </c>
      <c r="B48" s="3">
        <v>1601599</v>
      </c>
      <c r="C48" s="3" t="s">
        <v>153</v>
      </c>
      <c r="D48" s="4">
        <v>20321257</v>
      </c>
      <c r="E48" s="3" t="s">
        <v>68</v>
      </c>
      <c r="F48" s="4">
        <v>2</v>
      </c>
      <c r="G48" s="5">
        <v>16.5</v>
      </c>
      <c r="H48" s="5">
        <f t="shared" si="0"/>
        <v>33</v>
      </c>
    </row>
    <row r="49" customFormat="1" hidden="1" spans="1:8">
      <c r="A49" s="2">
        <v>46151</v>
      </c>
      <c r="B49" s="3">
        <v>1601599</v>
      </c>
      <c r="C49" s="3" t="s">
        <v>153</v>
      </c>
      <c r="D49" s="4">
        <v>20318158</v>
      </c>
      <c r="E49" s="3" t="s">
        <v>244</v>
      </c>
      <c r="F49" s="4">
        <v>1</v>
      </c>
      <c r="G49" s="5">
        <v>16.5</v>
      </c>
      <c r="H49" s="5">
        <f t="shared" si="0"/>
        <v>16.5</v>
      </c>
    </row>
    <row r="50" customFormat="1" hidden="1" spans="1:8">
      <c r="A50" s="2">
        <v>46151</v>
      </c>
      <c r="B50" s="3">
        <v>1601627</v>
      </c>
      <c r="C50" s="3" t="s">
        <v>150</v>
      </c>
      <c r="D50" s="4">
        <v>20321251</v>
      </c>
      <c r="E50" s="3" t="s">
        <v>311</v>
      </c>
      <c r="F50" s="4">
        <v>1</v>
      </c>
      <c r="G50" s="5">
        <v>187</v>
      </c>
      <c r="H50" s="5">
        <f t="shared" si="0"/>
        <v>187</v>
      </c>
    </row>
    <row r="51" customFormat="1" hidden="1" spans="1:8">
      <c r="A51" s="2">
        <v>46151</v>
      </c>
      <c r="B51" s="3">
        <v>1601627</v>
      </c>
      <c r="C51" s="3" t="s">
        <v>151</v>
      </c>
      <c r="D51" s="4">
        <v>20410990</v>
      </c>
      <c r="E51" s="3" t="s">
        <v>199</v>
      </c>
      <c r="F51" s="4">
        <v>1</v>
      </c>
      <c r="G51" s="5">
        <v>16.5</v>
      </c>
      <c r="H51" s="5">
        <f t="shared" si="0"/>
        <v>16.5</v>
      </c>
    </row>
    <row r="52" customFormat="1" hidden="1" spans="1:8">
      <c r="A52" s="2">
        <v>46151</v>
      </c>
      <c r="B52" s="3">
        <v>1601627</v>
      </c>
      <c r="C52" s="3" t="s">
        <v>153</v>
      </c>
      <c r="D52" s="4">
        <v>20340289</v>
      </c>
      <c r="E52" s="3" t="s">
        <v>272</v>
      </c>
      <c r="F52" s="4">
        <v>1</v>
      </c>
      <c r="G52" s="5">
        <v>16.5</v>
      </c>
      <c r="H52" s="5">
        <f t="shared" si="0"/>
        <v>16.5</v>
      </c>
    </row>
    <row r="53" customFormat="1" hidden="1" spans="1:8">
      <c r="A53" s="2">
        <v>46151</v>
      </c>
      <c r="B53" s="3">
        <v>1601666</v>
      </c>
      <c r="C53" s="3" t="s">
        <v>150</v>
      </c>
      <c r="D53" s="4">
        <v>20424417</v>
      </c>
      <c r="E53" s="3" t="s">
        <v>312</v>
      </c>
      <c r="F53" s="4">
        <v>1</v>
      </c>
      <c r="G53" s="5">
        <v>66</v>
      </c>
      <c r="H53" s="5">
        <f t="shared" si="0"/>
        <v>66</v>
      </c>
    </row>
    <row r="54" customFormat="1" hidden="1" spans="1:8">
      <c r="A54" s="2">
        <v>46151</v>
      </c>
      <c r="B54" s="3">
        <v>1601667</v>
      </c>
      <c r="C54" s="3" t="s">
        <v>156</v>
      </c>
      <c r="D54" s="4">
        <v>20330757</v>
      </c>
      <c r="E54" s="3" t="s">
        <v>288</v>
      </c>
      <c r="F54" s="4">
        <v>2</v>
      </c>
      <c r="G54" s="5">
        <v>35</v>
      </c>
      <c r="H54" s="5">
        <f t="shared" si="0"/>
        <v>70</v>
      </c>
    </row>
    <row r="55" customFormat="1" hidden="1" spans="1:8">
      <c r="A55" s="2">
        <v>46151</v>
      </c>
      <c r="B55" s="3">
        <v>1601673</v>
      </c>
      <c r="C55" s="3" t="s">
        <v>150</v>
      </c>
      <c r="D55" s="4">
        <v>20312966</v>
      </c>
      <c r="E55" s="3" t="s">
        <v>258</v>
      </c>
      <c r="F55" s="4">
        <v>1</v>
      </c>
      <c r="G55" s="5">
        <v>159.5</v>
      </c>
      <c r="H55" s="5">
        <f t="shared" si="0"/>
        <v>159.5</v>
      </c>
    </row>
    <row r="56" customFormat="1" hidden="1" spans="1:8">
      <c r="A56" s="2">
        <v>46151</v>
      </c>
      <c r="B56" s="3">
        <v>1601673</v>
      </c>
      <c r="C56" s="3" t="s">
        <v>150</v>
      </c>
      <c r="D56" s="4">
        <v>20312965</v>
      </c>
      <c r="E56" s="3" t="s">
        <v>112</v>
      </c>
      <c r="F56" s="4">
        <v>2</v>
      </c>
      <c r="G56" s="5">
        <v>137.5</v>
      </c>
      <c r="H56" s="5">
        <f t="shared" si="0"/>
        <v>275</v>
      </c>
    </row>
    <row r="57" customFormat="1" hidden="1" spans="1:8">
      <c r="A57" s="2">
        <v>46151</v>
      </c>
      <c r="B57" s="3">
        <v>1601673</v>
      </c>
      <c r="C57" s="3" t="s">
        <v>150</v>
      </c>
      <c r="D57" s="4">
        <v>20312967</v>
      </c>
      <c r="E57" s="3" t="s">
        <v>289</v>
      </c>
      <c r="F57" s="4">
        <v>3</v>
      </c>
      <c r="G57" s="5">
        <v>176</v>
      </c>
      <c r="H57" s="5">
        <f t="shared" si="0"/>
        <v>528</v>
      </c>
    </row>
    <row r="58" customFormat="1" hidden="1" spans="1:8">
      <c r="A58" s="2">
        <v>46151</v>
      </c>
      <c r="B58" s="3">
        <v>1601673</v>
      </c>
      <c r="C58" s="3" t="s">
        <v>156</v>
      </c>
      <c r="D58" s="4">
        <v>20322235</v>
      </c>
      <c r="E58" s="3" t="s">
        <v>111</v>
      </c>
      <c r="F58" s="4">
        <v>6</v>
      </c>
      <c r="G58" s="5">
        <v>2.5</v>
      </c>
      <c r="H58" s="5">
        <f t="shared" si="0"/>
        <v>15</v>
      </c>
    </row>
    <row r="59" customFormat="1" hidden="1" spans="1:8">
      <c r="A59" s="2">
        <v>46151</v>
      </c>
      <c r="B59" s="3">
        <v>1601673</v>
      </c>
      <c r="C59" s="3" t="s">
        <v>156</v>
      </c>
      <c r="D59" s="4">
        <v>20322234</v>
      </c>
      <c r="E59" s="3" t="s">
        <v>274</v>
      </c>
      <c r="F59" s="4">
        <v>4</v>
      </c>
      <c r="G59" s="5">
        <v>2.5</v>
      </c>
      <c r="H59" s="5">
        <f t="shared" si="0"/>
        <v>10</v>
      </c>
    </row>
    <row r="60" customFormat="1" hidden="1" spans="1:8">
      <c r="A60" s="2">
        <v>46151</v>
      </c>
      <c r="B60" s="3">
        <v>1601673</v>
      </c>
      <c r="C60" s="3" t="s">
        <v>156</v>
      </c>
      <c r="D60" s="4">
        <v>20330757</v>
      </c>
      <c r="E60" s="3" t="s">
        <v>288</v>
      </c>
      <c r="F60" s="4">
        <v>2</v>
      </c>
      <c r="G60" s="5">
        <v>35</v>
      </c>
      <c r="H60" s="5">
        <f t="shared" si="0"/>
        <v>70</v>
      </c>
    </row>
    <row r="61" customFormat="1" hidden="1" spans="1:8">
      <c r="A61" s="2">
        <v>46151</v>
      </c>
      <c r="B61" s="3">
        <v>1601673</v>
      </c>
      <c r="C61" s="3" t="s">
        <v>152</v>
      </c>
      <c r="D61" s="4">
        <v>20366065</v>
      </c>
      <c r="E61" s="3" t="s">
        <v>196</v>
      </c>
      <c r="F61" s="4">
        <v>1</v>
      </c>
      <c r="G61" s="5">
        <v>71.5</v>
      </c>
      <c r="H61" s="5">
        <f t="shared" si="0"/>
        <v>71.5</v>
      </c>
    </row>
    <row r="62" customFormat="1" hidden="1" spans="1:8">
      <c r="A62" s="2">
        <v>46151</v>
      </c>
      <c r="B62" s="3">
        <v>1601673</v>
      </c>
      <c r="C62" s="3" t="s">
        <v>153</v>
      </c>
      <c r="D62" s="4">
        <v>20318334</v>
      </c>
      <c r="E62" s="3" t="s">
        <v>186</v>
      </c>
      <c r="F62" s="4">
        <v>3</v>
      </c>
      <c r="G62" s="5">
        <v>16.5</v>
      </c>
      <c r="H62" s="5">
        <f t="shared" si="0"/>
        <v>49.5</v>
      </c>
    </row>
    <row r="63" customFormat="1" hidden="1" spans="1:8">
      <c r="A63" s="2">
        <v>46151</v>
      </c>
      <c r="B63" s="3">
        <v>1601699</v>
      </c>
      <c r="C63" s="3" t="s">
        <v>150</v>
      </c>
      <c r="D63" s="4">
        <v>20321719</v>
      </c>
      <c r="E63" s="3" t="s">
        <v>163</v>
      </c>
      <c r="F63" s="4">
        <v>1</v>
      </c>
      <c r="G63" s="5">
        <v>49.5</v>
      </c>
      <c r="H63" s="5">
        <f t="shared" si="0"/>
        <v>49.5</v>
      </c>
    </row>
    <row r="64" customFormat="1" hidden="1" spans="1:8">
      <c r="A64" s="2">
        <v>46151</v>
      </c>
      <c r="B64" s="3">
        <v>1601699</v>
      </c>
      <c r="C64" s="3" t="s">
        <v>150</v>
      </c>
      <c r="D64" s="4">
        <v>20327195</v>
      </c>
      <c r="E64" s="3" t="s">
        <v>266</v>
      </c>
      <c r="F64" s="4">
        <v>1</v>
      </c>
      <c r="G64" s="5">
        <v>44</v>
      </c>
      <c r="H64" s="5">
        <f t="shared" si="0"/>
        <v>44</v>
      </c>
    </row>
    <row r="65" customFormat="1" ht="25.5" hidden="1" spans="1:8">
      <c r="A65" s="2">
        <v>46151</v>
      </c>
      <c r="B65" s="3">
        <v>1601699</v>
      </c>
      <c r="C65" s="3" t="s">
        <v>154</v>
      </c>
      <c r="D65" s="4">
        <v>20326338</v>
      </c>
      <c r="E65" s="3" t="s">
        <v>269</v>
      </c>
      <c r="F65" s="4">
        <v>1</v>
      </c>
      <c r="G65" s="5">
        <v>55</v>
      </c>
      <c r="H65" s="5">
        <f t="shared" si="0"/>
        <v>55</v>
      </c>
    </row>
    <row r="66" customFormat="1" hidden="1" spans="1:8">
      <c r="A66" s="2">
        <v>46151</v>
      </c>
      <c r="B66" s="3">
        <v>1601699</v>
      </c>
      <c r="C66" s="3" t="s">
        <v>153</v>
      </c>
      <c r="D66" s="4">
        <v>20318334</v>
      </c>
      <c r="E66" s="3" t="s">
        <v>186</v>
      </c>
      <c r="F66" s="4">
        <v>1</v>
      </c>
      <c r="G66" s="5">
        <v>16.5</v>
      </c>
      <c r="H66" s="5">
        <f t="shared" ref="H66:H129" si="1">G66*F66</f>
        <v>16.5</v>
      </c>
    </row>
    <row r="67" customFormat="1" hidden="1" spans="1:8">
      <c r="A67" s="2">
        <v>46151</v>
      </c>
      <c r="B67" s="3">
        <v>1601712</v>
      </c>
      <c r="C67" s="3" t="s">
        <v>150</v>
      </c>
      <c r="D67" s="4">
        <v>20312995</v>
      </c>
      <c r="E67" s="3" t="s">
        <v>236</v>
      </c>
      <c r="F67" s="4">
        <v>1</v>
      </c>
      <c r="G67" s="5">
        <v>82.5</v>
      </c>
      <c r="H67" s="5">
        <f t="shared" si="1"/>
        <v>82.5</v>
      </c>
    </row>
    <row r="68" customFormat="1" hidden="1" spans="1:8">
      <c r="A68" s="2">
        <v>46151</v>
      </c>
      <c r="B68" s="3">
        <v>1601712</v>
      </c>
      <c r="C68" s="3" t="s">
        <v>150</v>
      </c>
      <c r="D68" s="4">
        <v>20312966</v>
      </c>
      <c r="E68" s="3" t="s">
        <v>258</v>
      </c>
      <c r="F68" s="4">
        <v>7</v>
      </c>
      <c r="G68" s="5">
        <v>159.5</v>
      </c>
      <c r="H68" s="5">
        <f t="shared" si="1"/>
        <v>1116.5</v>
      </c>
    </row>
    <row r="69" customFormat="1" hidden="1" spans="1:8">
      <c r="A69" s="2">
        <v>46151</v>
      </c>
      <c r="B69" s="3">
        <v>1601712</v>
      </c>
      <c r="C69" s="3" t="s">
        <v>150</v>
      </c>
      <c r="D69" s="4">
        <v>20312965</v>
      </c>
      <c r="E69" s="3" t="s">
        <v>112</v>
      </c>
      <c r="F69" s="4">
        <v>6</v>
      </c>
      <c r="G69" s="5">
        <v>137.5</v>
      </c>
      <c r="H69" s="5">
        <f t="shared" si="1"/>
        <v>825</v>
      </c>
    </row>
    <row r="70" customFormat="1" hidden="1" spans="1:8">
      <c r="A70" s="2">
        <v>46151</v>
      </c>
      <c r="B70" s="3">
        <v>1601712</v>
      </c>
      <c r="C70" s="3" t="s">
        <v>150</v>
      </c>
      <c r="D70" s="4">
        <v>20312967</v>
      </c>
      <c r="E70" s="3" t="s">
        <v>289</v>
      </c>
      <c r="F70" s="4">
        <v>9</v>
      </c>
      <c r="G70" s="5">
        <v>176</v>
      </c>
      <c r="H70" s="5">
        <f t="shared" si="1"/>
        <v>1584</v>
      </c>
    </row>
    <row r="71" customFormat="1" hidden="1" spans="1:8">
      <c r="A71" s="2">
        <v>46151</v>
      </c>
      <c r="B71" s="3">
        <v>1601712</v>
      </c>
      <c r="C71" s="3" t="s">
        <v>151</v>
      </c>
      <c r="D71" s="4">
        <v>20401437</v>
      </c>
      <c r="E71" s="3" t="s">
        <v>172</v>
      </c>
      <c r="F71" s="4">
        <v>1</v>
      </c>
      <c r="G71" s="5">
        <v>8</v>
      </c>
      <c r="H71" s="5">
        <f t="shared" si="1"/>
        <v>8</v>
      </c>
    </row>
    <row r="72" customFormat="1" hidden="1" spans="1:8">
      <c r="A72" s="2">
        <v>46151</v>
      </c>
      <c r="B72" s="3">
        <v>1601712</v>
      </c>
      <c r="C72" s="3" t="s">
        <v>151</v>
      </c>
      <c r="D72" s="4">
        <v>20340288</v>
      </c>
      <c r="E72" s="3" t="s">
        <v>282</v>
      </c>
      <c r="F72" s="4">
        <v>1</v>
      </c>
      <c r="G72" s="5">
        <v>22</v>
      </c>
      <c r="H72" s="5">
        <f t="shared" si="1"/>
        <v>22</v>
      </c>
    </row>
    <row r="73" customFormat="1" hidden="1" spans="1:8">
      <c r="A73" s="6">
        <v>46151</v>
      </c>
      <c r="B73" s="7">
        <v>1601712</v>
      </c>
      <c r="C73" s="7" t="s">
        <v>316</v>
      </c>
      <c r="D73" s="8">
        <v>20401425</v>
      </c>
      <c r="E73" s="7" t="s">
        <v>206</v>
      </c>
      <c r="F73" s="8">
        <v>1</v>
      </c>
      <c r="G73" s="9">
        <v>110</v>
      </c>
      <c r="H73" s="9">
        <f t="shared" si="1"/>
        <v>110</v>
      </c>
    </row>
    <row r="74" customFormat="1" hidden="1" spans="1:8">
      <c r="A74" s="2">
        <v>46151</v>
      </c>
      <c r="B74" s="3">
        <v>1601712</v>
      </c>
      <c r="C74" s="3" t="s">
        <v>156</v>
      </c>
      <c r="D74" s="4">
        <v>20330757</v>
      </c>
      <c r="E74" s="3" t="s">
        <v>288</v>
      </c>
      <c r="F74" s="4">
        <v>2</v>
      </c>
      <c r="G74" s="5">
        <v>35</v>
      </c>
      <c r="H74" s="5">
        <f t="shared" si="1"/>
        <v>70</v>
      </c>
    </row>
    <row r="75" customFormat="1" hidden="1" spans="1:8">
      <c r="A75" s="6">
        <v>46151</v>
      </c>
      <c r="B75" s="7">
        <v>1601712</v>
      </c>
      <c r="C75" s="7" t="s">
        <v>317</v>
      </c>
      <c r="D75" s="8">
        <v>20359748</v>
      </c>
      <c r="E75" s="7" t="s">
        <v>277</v>
      </c>
      <c r="F75" s="8">
        <v>1</v>
      </c>
      <c r="G75" s="9">
        <v>35</v>
      </c>
      <c r="H75" s="9">
        <f t="shared" si="1"/>
        <v>35</v>
      </c>
    </row>
    <row r="76" customFormat="1" hidden="1" spans="1:8">
      <c r="A76" s="2">
        <v>46151</v>
      </c>
      <c r="B76" s="3">
        <v>1601712</v>
      </c>
      <c r="C76" s="3" t="s">
        <v>153</v>
      </c>
      <c r="D76" s="4">
        <v>20321257</v>
      </c>
      <c r="E76" s="3" t="s">
        <v>68</v>
      </c>
      <c r="F76" s="4">
        <v>2</v>
      </c>
      <c r="G76" s="5">
        <v>16.5</v>
      </c>
      <c r="H76" s="5">
        <f t="shared" si="1"/>
        <v>33</v>
      </c>
    </row>
    <row r="77" customFormat="1" hidden="1" spans="1:8">
      <c r="A77" s="2">
        <v>46151</v>
      </c>
      <c r="B77" s="3">
        <v>1601712</v>
      </c>
      <c r="C77" s="3" t="s">
        <v>153</v>
      </c>
      <c r="D77" s="4">
        <v>20321250</v>
      </c>
      <c r="E77" s="3" t="s">
        <v>259</v>
      </c>
      <c r="F77" s="4">
        <v>1</v>
      </c>
      <c r="G77" s="5">
        <v>16.5</v>
      </c>
      <c r="H77" s="5">
        <f t="shared" si="1"/>
        <v>16.5</v>
      </c>
    </row>
    <row r="78" customFormat="1" hidden="1" spans="1:8">
      <c r="A78" s="2">
        <v>46151</v>
      </c>
      <c r="B78" s="3">
        <v>1601712</v>
      </c>
      <c r="C78" s="3" t="s">
        <v>153</v>
      </c>
      <c r="D78" s="4">
        <v>20318376</v>
      </c>
      <c r="E78" s="3" t="s">
        <v>263</v>
      </c>
      <c r="F78" s="4">
        <v>1</v>
      </c>
      <c r="G78" s="5">
        <v>16.5</v>
      </c>
      <c r="H78" s="5">
        <f t="shared" si="1"/>
        <v>16.5</v>
      </c>
    </row>
    <row r="79" customFormat="1" hidden="1" spans="1:8">
      <c r="A79" s="2">
        <v>46151</v>
      </c>
      <c r="B79" s="3">
        <v>1601712</v>
      </c>
      <c r="C79" s="3" t="s">
        <v>153</v>
      </c>
      <c r="D79" s="4">
        <v>20340289</v>
      </c>
      <c r="E79" s="3" t="s">
        <v>272</v>
      </c>
      <c r="F79" s="4">
        <v>3</v>
      </c>
      <c r="G79" s="5">
        <v>16.5</v>
      </c>
      <c r="H79" s="5">
        <f t="shared" si="1"/>
        <v>49.5</v>
      </c>
    </row>
    <row r="80" customFormat="1" hidden="1" spans="1:8">
      <c r="A80" s="2">
        <v>46151</v>
      </c>
      <c r="B80" s="3">
        <v>1601712</v>
      </c>
      <c r="C80" s="3" t="s">
        <v>153</v>
      </c>
      <c r="D80" s="4">
        <v>20383164</v>
      </c>
      <c r="E80" s="3" t="s">
        <v>273</v>
      </c>
      <c r="F80" s="4">
        <v>2</v>
      </c>
      <c r="G80" s="5">
        <v>22</v>
      </c>
      <c r="H80" s="5">
        <f t="shared" si="1"/>
        <v>44</v>
      </c>
    </row>
    <row r="81" customFormat="1" hidden="1" spans="1:8">
      <c r="A81" s="2">
        <v>46151</v>
      </c>
      <c r="B81" s="3">
        <v>1601712</v>
      </c>
      <c r="C81" s="3" t="s">
        <v>153</v>
      </c>
      <c r="D81" s="4">
        <v>20318336</v>
      </c>
      <c r="E81" s="3" t="s">
        <v>303</v>
      </c>
      <c r="F81" s="4">
        <v>2</v>
      </c>
      <c r="G81" s="5">
        <v>16.5</v>
      </c>
      <c r="H81" s="5">
        <f t="shared" si="1"/>
        <v>33</v>
      </c>
    </row>
    <row r="82" customFormat="1" hidden="1" spans="1:8">
      <c r="A82" s="2">
        <v>46151</v>
      </c>
      <c r="B82" s="3">
        <v>1601732</v>
      </c>
      <c r="C82" s="3" t="s">
        <v>150</v>
      </c>
      <c r="D82" s="4">
        <v>20321476</v>
      </c>
      <c r="E82" s="3" t="s">
        <v>161</v>
      </c>
      <c r="F82" s="4">
        <v>1</v>
      </c>
      <c r="G82" s="5">
        <v>55</v>
      </c>
      <c r="H82" s="5">
        <f t="shared" si="1"/>
        <v>55</v>
      </c>
    </row>
    <row r="83" customFormat="1" hidden="1" spans="1:8">
      <c r="A83" s="2">
        <v>46151</v>
      </c>
      <c r="B83" s="3">
        <v>1601732</v>
      </c>
      <c r="C83" s="3" t="s">
        <v>150</v>
      </c>
      <c r="D83" s="4">
        <v>20365495</v>
      </c>
      <c r="E83" s="3" t="s">
        <v>249</v>
      </c>
      <c r="F83" s="4">
        <v>1</v>
      </c>
      <c r="G83" s="5">
        <v>154</v>
      </c>
      <c r="H83" s="5">
        <f t="shared" si="1"/>
        <v>154</v>
      </c>
    </row>
    <row r="84" customFormat="1" hidden="1" spans="1:8">
      <c r="A84" s="2">
        <v>46151</v>
      </c>
      <c r="B84" s="3">
        <v>1601732</v>
      </c>
      <c r="C84" s="3" t="s">
        <v>150</v>
      </c>
      <c r="D84" s="4">
        <v>20312966</v>
      </c>
      <c r="E84" s="3" t="s">
        <v>258</v>
      </c>
      <c r="F84" s="4">
        <v>5</v>
      </c>
      <c r="G84" s="5">
        <v>159.5</v>
      </c>
      <c r="H84" s="5">
        <f t="shared" si="1"/>
        <v>797.5</v>
      </c>
    </row>
    <row r="85" customFormat="1" hidden="1" spans="1:8">
      <c r="A85" s="10">
        <v>46151</v>
      </c>
      <c r="B85" s="11">
        <v>1601732</v>
      </c>
      <c r="C85" s="11" t="s">
        <v>150</v>
      </c>
      <c r="D85" s="12">
        <v>20334934</v>
      </c>
      <c r="E85" s="11" t="s">
        <v>262</v>
      </c>
      <c r="F85" s="12">
        <v>1</v>
      </c>
      <c r="G85" s="13">
        <v>121</v>
      </c>
      <c r="H85" s="13">
        <f t="shared" si="1"/>
        <v>121</v>
      </c>
    </row>
    <row r="86" customFormat="1" hidden="1" spans="1:8">
      <c r="A86" s="2">
        <v>46151</v>
      </c>
      <c r="B86" s="3">
        <v>1601732</v>
      </c>
      <c r="C86" s="3" t="s">
        <v>150</v>
      </c>
      <c r="D86" s="4">
        <v>20312965</v>
      </c>
      <c r="E86" s="3" t="s">
        <v>112</v>
      </c>
      <c r="F86" s="4">
        <v>4</v>
      </c>
      <c r="G86" s="5">
        <v>137.5</v>
      </c>
      <c r="H86" s="5">
        <f t="shared" si="1"/>
        <v>550</v>
      </c>
    </row>
    <row r="87" customFormat="1" hidden="1" spans="1:8">
      <c r="A87" s="2">
        <v>46151</v>
      </c>
      <c r="B87" s="3">
        <v>1601732</v>
      </c>
      <c r="C87" s="3" t="s">
        <v>150</v>
      </c>
      <c r="D87" s="4">
        <v>20312967</v>
      </c>
      <c r="E87" s="3" t="s">
        <v>289</v>
      </c>
      <c r="F87" s="4">
        <v>4</v>
      </c>
      <c r="G87" s="5">
        <v>176</v>
      </c>
      <c r="H87" s="5">
        <f t="shared" si="1"/>
        <v>704</v>
      </c>
    </row>
    <row r="88" customFormat="1" hidden="1" spans="1:8">
      <c r="A88" s="2">
        <v>46151</v>
      </c>
      <c r="B88" s="3">
        <v>1601732</v>
      </c>
      <c r="C88" s="3" t="s">
        <v>150</v>
      </c>
      <c r="D88" s="4">
        <v>20321251</v>
      </c>
      <c r="E88" s="3" t="s">
        <v>311</v>
      </c>
      <c r="F88" s="4">
        <v>1</v>
      </c>
      <c r="G88" s="5">
        <v>187</v>
      </c>
      <c r="H88" s="5">
        <f t="shared" si="1"/>
        <v>187</v>
      </c>
    </row>
    <row r="89" customFormat="1" hidden="1" spans="1:8">
      <c r="A89" s="2">
        <v>46151</v>
      </c>
      <c r="B89" s="3">
        <v>1601732</v>
      </c>
      <c r="C89" s="3" t="s">
        <v>150</v>
      </c>
      <c r="D89" s="4">
        <v>20424417</v>
      </c>
      <c r="E89" s="3" t="s">
        <v>312</v>
      </c>
      <c r="F89" s="4">
        <v>1</v>
      </c>
      <c r="G89" s="5">
        <v>66</v>
      </c>
      <c r="H89" s="5">
        <f t="shared" si="1"/>
        <v>66</v>
      </c>
    </row>
    <row r="90" customFormat="1" hidden="1" spans="1:8">
      <c r="A90" s="2">
        <v>46151</v>
      </c>
      <c r="B90" s="3">
        <v>1601732</v>
      </c>
      <c r="C90" s="3" t="s">
        <v>153</v>
      </c>
      <c r="D90" s="4">
        <v>20321257</v>
      </c>
      <c r="E90" s="3" t="s">
        <v>68</v>
      </c>
      <c r="F90" s="4">
        <v>4</v>
      </c>
      <c r="G90" s="5">
        <v>16.5</v>
      </c>
      <c r="H90" s="5">
        <f t="shared" si="1"/>
        <v>66</v>
      </c>
    </row>
    <row r="91" customFormat="1" hidden="1" spans="1:8">
      <c r="A91" s="2">
        <v>46151</v>
      </c>
      <c r="B91" s="3">
        <v>1601732</v>
      </c>
      <c r="C91" s="3" t="s">
        <v>153</v>
      </c>
      <c r="D91" s="4">
        <v>20318361</v>
      </c>
      <c r="E91" s="3" t="s">
        <v>185</v>
      </c>
      <c r="F91" s="4">
        <v>1</v>
      </c>
      <c r="G91" s="5">
        <v>16.5</v>
      </c>
      <c r="H91" s="5">
        <f t="shared" si="1"/>
        <v>16.5</v>
      </c>
    </row>
    <row r="92" customFormat="1" hidden="1" spans="1:8">
      <c r="A92" s="2">
        <v>46151</v>
      </c>
      <c r="B92" s="3">
        <v>1601732</v>
      </c>
      <c r="C92" s="3" t="s">
        <v>153</v>
      </c>
      <c r="D92" s="4">
        <v>20318340</v>
      </c>
      <c r="E92" s="3" t="s">
        <v>240</v>
      </c>
      <c r="F92" s="4">
        <v>3</v>
      </c>
      <c r="G92" s="5">
        <v>16.5</v>
      </c>
      <c r="H92" s="5">
        <f t="shared" si="1"/>
        <v>49.5</v>
      </c>
    </row>
    <row r="93" customFormat="1" hidden="1" spans="1:8">
      <c r="A93" s="2">
        <v>46151</v>
      </c>
      <c r="B93" s="3">
        <v>1601732</v>
      </c>
      <c r="C93" s="3" t="s">
        <v>153</v>
      </c>
      <c r="D93" s="4">
        <v>20321502</v>
      </c>
      <c r="E93" s="3" t="s">
        <v>251</v>
      </c>
      <c r="F93" s="4">
        <v>1</v>
      </c>
      <c r="G93" s="5">
        <v>16.5</v>
      </c>
      <c r="H93" s="5">
        <f t="shared" si="1"/>
        <v>16.5</v>
      </c>
    </row>
    <row r="94" customFormat="1" hidden="1" spans="1:8">
      <c r="A94" s="2">
        <v>46151</v>
      </c>
      <c r="B94" s="3">
        <v>1601732</v>
      </c>
      <c r="C94" s="3" t="s">
        <v>153</v>
      </c>
      <c r="D94" s="4">
        <v>20321250</v>
      </c>
      <c r="E94" s="3" t="s">
        <v>259</v>
      </c>
      <c r="F94" s="4">
        <v>1</v>
      </c>
      <c r="G94" s="5">
        <v>16.5</v>
      </c>
      <c r="H94" s="5">
        <f t="shared" si="1"/>
        <v>16.5</v>
      </c>
    </row>
    <row r="95" customFormat="1" hidden="1" spans="1:8">
      <c r="A95" s="2">
        <v>46151</v>
      </c>
      <c r="B95" s="3">
        <v>1601732</v>
      </c>
      <c r="C95" s="3" t="s">
        <v>153</v>
      </c>
      <c r="D95" s="4">
        <v>20340289</v>
      </c>
      <c r="E95" s="3" t="s">
        <v>272</v>
      </c>
      <c r="F95" s="4">
        <v>1</v>
      </c>
      <c r="G95" s="5">
        <v>16.5</v>
      </c>
      <c r="H95" s="5">
        <f t="shared" si="1"/>
        <v>16.5</v>
      </c>
    </row>
    <row r="96" customFormat="1" hidden="1" spans="1:8">
      <c r="A96" s="2">
        <v>46151</v>
      </c>
      <c r="B96" s="3">
        <v>1601732</v>
      </c>
      <c r="C96" s="3" t="s">
        <v>153</v>
      </c>
      <c r="D96" s="4">
        <v>20383164</v>
      </c>
      <c r="E96" s="3" t="s">
        <v>273</v>
      </c>
      <c r="F96" s="4">
        <v>1</v>
      </c>
      <c r="G96" s="5">
        <v>22</v>
      </c>
      <c r="H96" s="5">
        <f t="shared" si="1"/>
        <v>22</v>
      </c>
    </row>
    <row r="97" customFormat="1" hidden="1" spans="1:8">
      <c r="A97" s="2">
        <v>46151</v>
      </c>
      <c r="B97" s="3">
        <v>1601732</v>
      </c>
      <c r="C97" s="3" t="s">
        <v>153</v>
      </c>
      <c r="D97" s="4">
        <v>20318336</v>
      </c>
      <c r="E97" s="3" t="s">
        <v>303</v>
      </c>
      <c r="F97" s="4">
        <v>1</v>
      </c>
      <c r="G97" s="5">
        <v>16.5</v>
      </c>
      <c r="H97" s="5">
        <f t="shared" si="1"/>
        <v>16.5</v>
      </c>
    </row>
    <row r="98" customFormat="1" hidden="1" spans="1:8">
      <c r="A98" s="2">
        <v>46151</v>
      </c>
      <c r="B98" s="3">
        <v>1601732</v>
      </c>
      <c r="C98" s="3" t="s">
        <v>153</v>
      </c>
      <c r="D98" s="4">
        <v>20318342</v>
      </c>
      <c r="E98" s="3" t="s">
        <v>304</v>
      </c>
      <c r="F98" s="4">
        <v>1</v>
      </c>
      <c r="G98" s="5">
        <v>16.5</v>
      </c>
      <c r="H98" s="5">
        <f t="shared" si="1"/>
        <v>16.5</v>
      </c>
    </row>
    <row r="99" customFormat="1" hidden="1" spans="1:8">
      <c r="A99" s="2">
        <v>46152</v>
      </c>
      <c r="B99" s="3">
        <v>1601861</v>
      </c>
      <c r="C99" s="3" t="s">
        <v>150</v>
      </c>
      <c r="D99" s="4">
        <v>20312966</v>
      </c>
      <c r="E99" s="3" t="s">
        <v>258</v>
      </c>
      <c r="F99" s="4">
        <v>4</v>
      </c>
      <c r="G99" s="5">
        <v>159.5</v>
      </c>
      <c r="H99" s="5">
        <f t="shared" si="1"/>
        <v>638</v>
      </c>
    </row>
    <row r="100" customFormat="1" hidden="1" spans="1:8">
      <c r="A100" s="2">
        <v>46152</v>
      </c>
      <c r="B100" s="3">
        <v>1601861</v>
      </c>
      <c r="C100" s="3" t="s">
        <v>150</v>
      </c>
      <c r="D100" s="4">
        <v>20327194</v>
      </c>
      <c r="E100" s="3" t="s">
        <v>265</v>
      </c>
      <c r="F100" s="4">
        <v>1</v>
      </c>
      <c r="G100" s="5">
        <v>27.5</v>
      </c>
      <c r="H100" s="5">
        <f t="shared" si="1"/>
        <v>27.5</v>
      </c>
    </row>
    <row r="101" customFormat="1" hidden="1" spans="1:8">
      <c r="A101" s="2">
        <v>46152</v>
      </c>
      <c r="B101" s="3">
        <v>1601861</v>
      </c>
      <c r="C101" s="3" t="s">
        <v>150</v>
      </c>
      <c r="D101" s="4">
        <v>20312965</v>
      </c>
      <c r="E101" s="3" t="s">
        <v>112</v>
      </c>
      <c r="F101" s="4">
        <v>4</v>
      </c>
      <c r="G101" s="5">
        <v>137.5</v>
      </c>
      <c r="H101" s="5">
        <f t="shared" si="1"/>
        <v>550</v>
      </c>
    </row>
    <row r="102" customFormat="1" hidden="1" spans="1:8">
      <c r="A102" s="2">
        <v>46152</v>
      </c>
      <c r="B102" s="3">
        <v>1601861</v>
      </c>
      <c r="C102" s="3" t="s">
        <v>150</v>
      </c>
      <c r="D102" s="4">
        <v>20312967</v>
      </c>
      <c r="E102" s="3" t="s">
        <v>289</v>
      </c>
      <c r="F102" s="4">
        <v>4</v>
      </c>
      <c r="G102" s="5">
        <v>176</v>
      </c>
      <c r="H102" s="5">
        <f t="shared" si="1"/>
        <v>704</v>
      </c>
    </row>
    <row r="103" customFormat="1" hidden="1" spans="1:8">
      <c r="A103" s="2">
        <v>46152</v>
      </c>
      <c r="B103" s="3">
        <v>1601861</v>
      </c>
      <c r="C103" s="3" t="s">
        <v>150</v>
      </c>
      <c r="D103" s="4">
        <v>20424417</v>
      </c>
      <c r="E103" s="3" t="s">
        <v>312</v>
      </c>
      <c r="F103" s="4">
        <v>2</v>
      </c>
      <c r="G103" s="5">
        <v>66</v>
      </c>
      <c r="H103" s="5">
        <f t="shared" si="1"/>
        <v>132</v>
      </c>
    </row>
    <row r="104" customFormat="1" hidden="1" spans="1:8">
      <c r="A104" s="6">
        <v>46152</v>
      </c>
      <c r="B104" s="7">
        <v>1601861</v>
      </c>
      <c r="C104" s="7" t="s">
        <v>316</v>
      </c>
      <c r="D104" s="8">
        <v>20348155</v>
      </c>
      <c r="E104" s="7" t="s">
        <v>279</v>
      </c>
      <c r="F104" s="8">
        <v>1</v>
      </c>
      <c r="G104" s="9">
        <v>25</v>
      </c>
      <c r="H104" s="9">
        <f t="shared" si="1"/>
        <v>25</v>
      </c>
    </row>
    <row r="105" customFormat="1" hidden="1" spans="1:8">
      <c r="A105" s="2">
        <v>46152</v>
      </c>
      <c r="B105" s="3">
        <v>1601861</v>
      </c>
      <c r="C105" s="3" t="s">
        <v>156</v>
      </c>
      <c r="D105" s="4">
        <v>20322235</v>
      </c>
      <c r="E105" s="3" t="s">
        <v>111</v>
      </c>
      <c r="F105" s="4">
        <v>6</v>
      </c>
      <c r="G105" s="5">
        <v>2.5</v>
      </c>
      <c r="H105" s="5">
        <f t="shared" si="1"/>
        <v>15</v>
      </c>
    </row>
    <row r="106" customFormat="1" hidden="1" spans="1:8">
      <c r="A106" s="2">
        <v>46152</v>
      </c>
      <c r="B106" s="3">
        <v>1601861</v>
      </c>
      <c r="C106" s="3" t="s">
        <v>156</v>
      </c>
      <c r="D106" s="4">
        <v>20322243</v>
      </c>
      <c r="E106" s="3" t="s">
        <v>117</v>
      </c>
      <c r="F106" s="4">
        <v>3</v>
      </c>
      <c r="G106" s="5">
        <v>30</v>
      </c>
      <c r="H106" s="5">
        <f t="shared" si="1"/>
        <v>90</v>
      </c>
    </row>
    <row r="107" customFormat="1" hidden="1" spans="1:8">
      <c r="A107" s="2">
        <v>46152</v>
      </c>
      <c r="B107" s="3">
        <v>1601861</v>
      </c>
      <c r="C107" s="3" t="s">
        <v>156</v>
      </c>
      <c r="D107" s="4">
        <v>20322234</v>
      </c>
      <c r="E107" s="3" t="s">
        <v>274</v>
      </c>
      <c r="F107" s="4">
        <v>5</v>
      </c>
      <c r="G107" s="5">
        <v>2.5</v>
      </c>
      <c r="H107" s="5">
        <f t="shared" si="1"/>
        <v>12.5</v>
      </c>
    </row>
    <row r="108" customFormat="1" hidden="1" spans="1:8">
      <c r="A108" s="2">
        <v>46152</v>
      </c>
      <c r="B108" s="3">
        <v>1601861</v>
      </c>
      <c r="C108" s="3" t="s">
        <v>156</v>
      </c>
      <c r="D108" s="4">
        <v>20330757</v>
      </c>
      <c r="E108" s="3" t="s">
        <v>288</v>
      </c>
      <c r="F108" s="4">
        <v>5</v>
      </c>
      <c r="G108" s="5">
        <v>35</v>
      </c>
      <c r="H108" s="5">
        <f t="shared" si="1"/>
        <v>175</v>
      </c>
    </row>
    <row r="109" customFormat="1" hidden="1" spans="1:8">
      <c r="A109" s="2">
        <v>46152</v>
      </c>
      <c r="B109" s="3">
        <v>1601861</v>
      </c>
      <c r="C109" s="3" t="s">
        <v>156</v>
      </c>
      <c r="D109" s="4">
        <v>20323697</v>
      </c>
      <c r="E109" s="3" t="s">
        <v>290</v>
      </c>
      <c r="F109" s="4">
        <v>1</v>
      </c>
      <c r="G109" s="5">
        <v>4</v>
      </c>
      <c r="H109" s="5">
        <f t="shared" si="1"/>
        <v>4</v>
      </c>
    </row>
    <row r="110" customFormat="1" hidden="1" spans="1:8">
      <c r="A110" s="2">
        <v>46152</v>
      </c>
      <c r="B110" s="3">
        <v>1601861</v>
      </c>
      <c r="C110" s="3" t="s">
        <v>156</v>
      </c>
      <c r="D110" s="4">
        <v>20402355</v>
      </c>
      <c r="E110" s="3" t="s">
        <v>291</v>
      </c>
      <c r="F110" s="4">
        <v>1</v>
      </c>
      <c r="G110" s="5">
        <v>25</v>
      </c>
      <c r="H110" s="5">
        <f t="shared" si="1"/>
        <v>25</v>
      </c>
    </row>
    <row r="111" customFormat="1" hidden="1" spans="1:8">
      <c r="A111" s="2">
        <v>46152</v>
      </c>
      <c r="B111" s="3">
        <v>1601870</v>
      </c>
      <c r="C111" s="3" t="s">
        <v>150</v>
      </c>
      <c r="D111" s="4">
        <v>20312966</v>
      </c>
      <c r="E111" s="3" t="s">
        <v>258</v>
      </c>
      <c r="F111" s="4">
        <v>2</v>
      </c>
      <c r="G111" s="5">
        <v>159.5</v>
      </c>
      <c r="H111" s="5">
        <f t="shared" si="1"/>
        <v>319</v>
      </c>
    </row>
    <row r="112" customFormat="1" hidden="1" spans="1:8">
      <c r="A112" s="2">
        <v>46152</v>
      </c>
      <c r="B112" s="3">
        <v>1601870</v>
      </c>
      <c r="C112" s="3" t="s">
        <v>150</v>
      </c>
      <c r="D112" s="4">
        <v>20312965</v>
      </c>
      <c r="E112" s="3" t="s">
        <v>112</v>
      </c>
      <c r="F112" s="4">
        <v>1</v>
      </c>
      <c r="G112" s="5">
        <v>137.5</v>
      </c>
      <c r="H112" s="5">
        <f t="shared" si="1"/>
        <v>137.5</v>
      </c>
    </row>
    <row r="113" customFormat="1" hidden="1" spans="1:8">
      <c r="A113" s="2">
        <v>46152</v>
      </c>
      <c r="B113" s="3">
        <v>1601870</v>
      </c>
      <c r="C113" s="3" t="s">
        <v>151</v>
      </c>
      <c r="D113" s="4">
        <v>20354360</v>
      </c>
      <c r="E113" s="3" t="s">
        <v>177</v>
      </c>
      <c r="F113" s="4">
        <v>1</v>
      </c>
      <c r="G113" s="5">
        <v>13.5</v>
      </c>
      <c r="H113" s="5">
        <f t="shared" si="1"/>
        <v>13.5</v>
      </c>
    </row>
    <row r="114" customFormat="1" hidden="1" spans="1:8">
      <c r="A114" s="2">
        <v>46152</v>
      </c>
      <c r="B114" s="3">
        <v>1601870</v>
      </c>
      <c r="C114" s="3" t="s">
        <v>151</v>
      </c>
      <c r="D114" s="4">
        <v>20337609</v>
      </c>
      <c r="E114" s="3" t="s">
        <v>267</v>
      </c>
      <c r="F114" s="4">
        <v>1</v>
      </c>
      <c r="G114" s="5">
        <v>8</v>
      </c>
      <c r="H114" s="5">
        <f t="shared" si="1"/>
        <v>8</v>
      </c>
    </row>
    <row r="115" customFormat="1" hidden="1" spans="1:8">
      <c r="A115" s="2">
        <v>46152</v>
      </c>
      <c r="B115" s="3">
        <v>1601870</v>
      </c>
      <c r="C115" s="3" t="s">
        <v>151</v>
      </c>
      <c r="D115" s="4">
        <v>20318395</v>
      </c>
      <c r="E115" s="3" t="s">
        <v>309</v>
      </c>
      <c r="F115" s="4">
        <v>2</v>
      </c>
      <c r="G115" s="5">
        <v>16.5</v>
      </c>
      <c r="H115" s="5">
        <f t="shared" si="1"/>
        <v>33</v>
      </c>
    </row>
    <row r="116" customFormat="1" hidden="1" spans="1:8">
      <c r="A116" s="2">
        <v>46152</v>
      </c>
      <c r="B116" s="3">
        <v>1601870</v>
      </c>
      <c r="C116" s="3" t="s">
        <v>152</v>
      </c>
      <c r="D116" s="4">
        <v>20366064</v>
      </c>
      <c r="E116" s="3" t="s">
        <v>195</v>
      </c>
      <c r="F116" s="4">
        <v>1</v>
      </c>
      <c r="G116" s="5">
        <v>71.5</v>
      </c>
      <c r="H116" s="5">
        <f t="shared" si="1"/>
        <v>71.5</v>
      </c>
    </row>
    <row r="117" customFormat="1" hidden="1" spans="1:8">
      <c r="A117" s="2">
        <v>46152</v>
      </c>
      <c r="B117" s="3">
        <v>1601870</v>
      </c>
      <c r="C117" s="3" t="s">
        <v>153</v>
      </c>
      <c r="D117" s="4">
        <v>20321257</v>
      </c>
      <c r="E117" s="3" t="s">
        <v>68</v>
      </c>
      <c r="F117" s="4">
        <v>10</v>
      </c>
      <c r="G117" s="5">
        <v>16.5</v>
      </c>
      <c r="H117" s="5">
        <f t="shared" si="1"/>
        <v>165</v>
      </c>
    </row>
    <row r="118" customFormat="1" hidden="1" spans="1:8">
      <c r="A118" s="2">
        <v>46152</v>
      </c>
      <c r="B118" s="3">
        <v>1601870</v>
      </c>
      <c r="C118" s="3" t="s">
        <v>153</v>
      </c>
      <c r="D118" s="4">
        <v>20363041</v>
      </c>
      <c r="E118" s="3" t="s">
        <v>187</v>
      </c>
      <c r="F118" s="4">
        <v>1</v>
      </c>
      <c r="G118" s="5">
        <v>16.5</v>
      </c>
      <c r="H118" s="5">
        <f t="shared" si="1"/>
        <v>16.5</v>
      </c>
    </row>
    <row r="119" customFormat="1" hidden="1" spans="1:8">
      <c r="A119" s="2">
        <v>46152</v>
      </c>
      <c r="B119" s="3">
        <v>1601870</v>
      </c>
      <c r="C119" s="3" t="s">
        <v>153</v>
      </c>
      <c r="D119" s="4">
        <v>20014824</v>
      </c>
      <c r="E119" s="3" t="s">
        <v>85</v>
      </c>
      <c r="F119" s="4">
        <v>1</v>
      </c>
      <c r="G119" s="5">
        <v>16.5</v>
      </c>
      <c r="H119" s="5">
        <f t="shared" si="1"/>
        <v>16.5</v>
      </c>
    </row>
    <row r="120" customFormat="1" hidden="1" spans="1:8">
      <c r="A120" s="2">
        <v>46152</v>
      </c>
      <c r="B120" s="3">
        <v>1601870</v>
      </c>
      <c r="C120" s="3" t="s">
        <v>153</v>
      </c>
      <c r="D120" s="4">
        <v>20318378</v>
      </c>
      <c r="E120" s="3" t="s">
        <v>231</v>
      </c>
      <c r="F120" s="4">
        <v>1</v>
      </c>
      <c r="G120" s="5">
        <v>16.5</v>
      </c>
      <c r="H120" s="5">
        <f t="shared" si="1"/>
        <v>16.5</v>
      </c>
    </row>
    <row r="121" customFormat="1" hidden="1" spans="1:8">
      <c r="A121" s="2">
        <v>46152</v>
      </c>
      <c r="B121" s="3">
        <v>1601870</v>
      </c>
      <c r="C121" s="3" t="s">
        <v>153</v>
      </c>
      <c r="D121" s="4">
        <v>20321250</v>
      </c>
      <c r="E121" s="3" t="s">
        <v>259</v>
      </c>
      <c r="F121" s="4">
        <v>4</v>
      </c>
      <c r="G121" s="5">
        <v>16.5</v>
      </c>
      <c r="H121" s="5">
        <f t="shared" si="1"/>
        <v>66</v>
      </c>
    </row>
    <row r="122" customFormat="1" hidden="1" spans="1:8">
      <c r="A122" s="2">
        <v>46152</v>
      </c>
      <c r="B122" s="3">
        <v>1601870</v>
      </c>
      <c r="C122" s="3" t="s">
        <v>153</v>
      </c>
      <c r="D122" s="4">
        <v>20383164</v>
      </c>
      <c r="E122" s="3" t="s">
        <v>273</v>
      </c>
      <c r="F122" s="4">
        <v>1</v>
      </c>
      <c r="G122" s="5">
        <v>22</v>
      </c>
      <c r="H122" s="5">
        <f t="shared" si="1"/>
        <v>22</v>
      </c>
    </row>
    <row r="123" customFormat="1" hidden="1" spans="1:8">
      <c r="A123" s="2">
        <v>46152</v>
      </c>
      <c r="B123" s="3">
        <v>1601870</v>
      </c>
      <c r="C123" s="3" t="s">
        <v>153</v>
      </c>
      <c r="D123" s="4">
        <v>20407575</v>
      </c>
      <c r="E123" s="3" t="s">
        <v>284</v>
      </c>
      <c r="F123" s="4">
        <v>1</v>
      </c>
      <c r="G123" s="5">
        <v>16.5</v>
      </c>
      <c r="H123" s="5">
        <f t="shared" si="1"/>
        <v>16.5</v>
      </c>
    </row>
    <row r="124" customFormat="1" hidden="1" spans="1:8">
      <c r="A124" s="2">
        <v>46152</v>
      </c>
      <c r="B124" s="3">
        <v>1601870</v>
      </c>
      <c r="C124" s="3" t="s">
        <v>153</v>
      </c>
      <c r="D124" s="4">
        <v>20318342</v>
      </c>
      <c r="E124" s="3" t="s">
        <v>304</v>
      </c>
      <c r="F124" s="4">
        <v>2</v>
      </c>
      <c r="G124" s="5">
        <v>16.5</v>
      </c>
      <c r="H124" s="5">
        <f t="shared" si="1"/>
        <v>33</v>
      </c>
    </row>
    <row r="125" customFormat="1" hidden="1" spans="1:8">
      <c r="A125" s="2">
        <v>46153</v>
      </c>
      <c r="B125" s="3">
        <v>1601908</v>
      </c>
      <c r="C125" s="3" t="s">
        <v>156</v>
      </c>
      <c r="D125" s="4">
        <v>20322304</v>
      </c>
      <c r="E125" s="3" t="s">
        <v>275</v>
      </c>
      <c r="F125" s="4">
        <v>7</v>
      </c>
      <c r="G125" s="5">
        <v>25</v>
      </c>
      <c r="H125" s="5">
        <f t="shared" si="1"/>
        <v>175</v>
      </c>
    </row>
    <row r="126" customFormat="1" hidden="1" spans="1:8">
      <c r="A126" s="2">
        <v>46153</v>
      </c>
      <c r="B126" s="3">
        <v>1601914</v>
      </c>
      <c r="C126" s="3" t="s">
        <v>150</v>
      </c>
      <c r="D126" s="4">
        <v>20312968</v>
      </c>
      <c r="E126" s="3" t="s">
        <v>276</v>
      </c>
      <c r="F126" s="4">
        <v>1</v>
      </c>
      <c r="G126" s="5">
        <v>187</v>
      </c>
      <c r="H126" s="5">
        <f t="shared" si="1"/>
        <v>187</v>
      </c>
    </row>
    <row r="127" customFormat="1" hidden="1" spans="1:8">
      <c r="A127" s="2">
        <v>46153</v>
      </c>
      <c r="B127" s="3">
        <v>1601914</v>
      </c>
      <c r="C127" s="3" t="s">
        <v>150</v>
      </c>
      <c r="D127" s="4">
        <v>20312967</v>
      </c>
      <c r="E127" s="3" t="s">
        <v>289</v>
      </c>
      <c r="F127" s="4">
        <v>1</v>
      </c>
      <c r="G127" s="5">
        <v>176</v>
      </c>
      <c r="H127" s="5">
        <f t="shared" si="1"/>
        <v>176</v>
      </c>
    </row>
    <row r="128" customFormat="1" hidden="1" spans="1:8">
      <c r="A128" s="2">
        <v>46153</v>
      </c>
      <c r="B128" s="3">
        <v>1601914</v>
      </c>
      <c r="C128" s="3" t="s">
        <v>156</v>
      </c>
      <c r="D128" s="4">
        <v>20322243</v>
      </c>
      <c r="E128" s="3" t="s">
        <v>117</v>
      </c>
      <c r="F128" s="4">
        <v>1</v>
      </c>
      <c r="G128" s="5">
        <v>30</v>
      </c>
      <c r="H128" s="5">
        <f t="shared" si="1"/>
        <v>30</v>
      </c>
    </row>
    <row r="129" customFormat="1" hidden="1" spans="1:8">
      <c r="A129" s="2">
        <v>46153</v>
      </c>
      <c r="B129" s="3">
        <v>1601914</v>
      </c>
      <c r="C129" s="3" t="s">
        <v>156</v>
      </c>
      <c r="D129" s="4">
        <v>20330757</v>
      </c>
      <c r="E129" s="3" t="s">
        <v>288</v>
      </c>
      <c r="F129" s="4">
        <v>1</v>
      </c>
      <c r="G129" s="5">
        <v>35</v>
      </c>
      <c r="H129" s="5">
        <f t="shared" si="1"/>
        <v>35</v>
      </c>
    </row>
    <row r="130" customFormat="1" hidden="1" spans="1:8">
      <c r="A130" s="2">
        <v>46153</v>
      </c>
      <c r="B130" s="3">
        <v>1601914</v>
      </c>
      <c r="C130" s="3" t="s">
        <v>153</v>
      </c>
      <c r="D130" s="4">
        <v>20321257</v>
      </c>
      <c r="E130" s="3" t="s">
        <v>68</v>
      </c>
      <c r="F130" s="4">
        <v>1</v>
      </c>
      <c r="G130" s="5">
        <v>16.5</v>
      </c>
      <c r="H130" s="5">
        <f t="shared" ref="H130:H193" si="2">G130*F130</f>
        <v>16.5</v>
      </c>
    </row>
    <row r="131" customFormat="1" hidden="1" spans="1:8">
      <c r="A131" s="2">
        <v>46153</v>
      </c>
      <c r="B131" s="3">
        <v>1601914</v>
      </c>
      <c r="C131" s="3" t="s">
        <v>153</v>
      </c>
      <c r="D131" s="4">
        <v>20318336</v>
      </c>
      <c r="E131" s="3" t="s">
        <v>303</v>
      </c>
      <c r="F131" s="4">
        <v>2</v>
      </c>
      <c r="G131" s="5">
        <v>16.5</v>
      </c>
      <c r="H131" s="5">
        <f t="shared" si="2"/>
        <v>33</v>
      </c>
    </row>
    <row r="132" customFormat="1" hidden="1" spans="1:8">
      <c r="A132" s="2">
        <v>46153</v>
      </c>
      <c r="B132" s="3">
        <v>1601991</v>
      </c>
      <c r="C132" s="3" t="s">
        <v>150</v>
      </c>
      <c r="D132" s="4">
        <v>20312966</v>
      </c>
      <c r="E132" s="3" t="s">
        <v>258</v>
      </c>
      <c r="F132" s="4">
        <v>3</v>
      </c>
      <c r="G132" s="5">
        <v>159.5</v>
      </c>
      <c r="H132" s="5">
        <f t="shared" si="2"/>
        <v>478.5</v>
      </c>
    </row>
    <row r="133" customFormat="1" hidden="1" spans="1:8">
      <c r="A133" s="2">
        <v>46153</v>
      </c>
      <c r="B133" s="3">
        <v>1601991</v>
      </c>
      <c r="C133" s="3" t="s">
        <v>150</v>
      </c>
      <c r="D133" s="4">
        <v>20312965</v>
      </c>
      <c r="E133" s="3" t="s">
        <v>112</v>
      </c>
      <c r="F133" s="4">
        <v>3</v>
      </c>
      <c r="G133" s="5">
        <v>137.5</v>
      </c>
      <c r="H133" s="5">
        <f t="shared" si="2"/>
        <v>412.5</v>
      </c>
    </row>
    <row r="134" customFormat="1" hidden="1" spans="1:8">
      <c r="A134" s="2">
        <v>46153</v>
      </c>
      <c r="B134" s="3">
        <v>1601991</v>
      </c>
      <c r="C134" s="3" t="s">
        <v>150</v>
      </c>
      <c r="D134" s="4">
        <v>20312967</v>
      </c>
      <c r="E134" s="3" t="s">
        <v>289</v>
      </c>
      <c r="F134" s="4">
        <v>4</v>
      </c>
      <c r="G134" s="5">
        <v>176</v>
      </c>
      <c r="H134" s="5">
        <f t="shared" si="2"/>
        <v>704</v>
      </c>
    </row>
    <row r="135" customFormat="1" hidden="1" spans="1:8">
      <c r="A135" s="2">
        <v>46153</v>
      </c>
      <c r="B135" s="3">
        <v>1601991</v>
      </c>
      <c r="C135" s="3" t="s">
        <v>151</v>
      </c>
      <c r="D135" s="4">
        <v>20410156</v>
      </c>
      <c r="E135" s="3" t="s">
        <v>192</v>
      </c>
      <c r="F135" s="4">
        <v>1</v>
      </c>
      <c r="G135" s="5">
        <v>16.5</v>
      </c>
      <c r="H135" s="5">
        <f t="shared" si="2"/>
        <v>16.5</v>
      </c>
    </row>
    <row r="136" customFormat="1" hidden="1" spans="1:8">
      <c r="A136" s="2">
        <v>46153</v>
      </c>
      <c r="B136" s="3">
        <v>1601991</v>
      </c>
      <c r="C136" s="3" t="s">
        <v>151</v>
      </c>
      <c r="D136" s="4">
        <v>20410990</v>
      </c>
      <c r="E136" s="3" t="s">
        <v>199</v>
      </c>
      <c r="F136" s="4">
        <v>1</v>
      </c>
      <c r="G136" s="5">
        <v>16.5</v>
      </c>
      <c r="H136" s="5">
        <f t="shared" si="2"/>
        <v>16.5</v>
      </c>
    </row>
    <row r="137" customFormat="1" hidden="1" spans="1:8">
      <c r="A137" s="2">
        <v>46153</v>
      </c>
      <c r="B137" s="3">
        <v>1601991</v>
      </c>
      <c r="C137" s="3" t="s">
        <v>151</v>
      </c>
      <c r="D137" s="4">
        <v>20318395</v>
      </c>
      <c r="E137" s="3" t="s">
        <v>309</v>
      </c>
      <c r="F137" s="4">
        <v>1</v>
      </c>
      <c r="G137" s="5">
        <v>16.5</v>
      </c>
      <c r="H137" s="5">
        <f t="shared" si="2"/>
        <v>16.5</v>
      </c>
    </row>
    <row r="138" customFormat="1" hidden="1" spans="1:8">
      <c r="A138" s="2">
        <v>46153</v>
      </c>
      <c r="B138" s="3">
        <v>1601991</v>
      </c>
      <c r="C138" s="3" t="s">
        <v>152</v>
      </c>
      <c r="D138" s="4">
        <v>20366065</v>
      </c>
      <c r="E138" s="3" t="s">
        <v>196</v>
      </c>
      <c r="F138" s="4">
        <v>1</v>
      </c>
      <c r="G138" s="5">
        <v>71.5</v>
      </c>
      <c r="H138" s="5">
        <f t="shared" si="2"/>
        <v>71.5</v>
      </c>
    </row>
    <row r="139" customFormat="1" hidden="1" spans="1:8">
      <c r="A139" s="2">
        <v>46153</v>
      </c>
      <c r="B139" s="3">
        <v>1601991</v>
      </c>
      <c r="C139" s="3" t="s">
        <v>153</v>
      </c>
      <c r="D139" s="4">
        <v>20318359</v>
      </c>
      <c r="E139" s="3" t="s">
        <v>207</v>
      </c>
      <c r="F139" s="4">
        <v>1</v>
      </c>
      <c r="G139" s="5">
        <v>16.5</v>
      </c>
      <c r="H139" s="5">
        <f t="shared" si="2"/>
        <v>16.5</v>
      </c>
    </row>
    <row r="140" customFormat="1" hidden="1" spans="1:8">
      <c r="A140" s="2">
        <v>46153</v>
      </c>
      <c r="B140" s="3">
        <v>1601991</v>
      </c>
      <c r="C140" s="3" t="s">
        <v>153</v>
      </c>
      <c r="D140" s="4">
        <v>20321250</v>
      </c>
      <c r="E140" s="3" t="s">
        <v>259</v>
      </c>
      <c r="F140" s="4">
        <v>1</v>
      </c>
      <c r="G140" s="5">
        <v>16.5</v>
      </c>
      <c r="H140" s="5">
        <f t="shared" si="2"/>
        <v>16.5</v>
      </c>
    </row>
    <row r="141" customFormat="1" hidden="1" spans="1:8">
      <c r="A141" s="2">
        <v>46153</v>
      </c>
      <c r="B141" s="3">
        <v>1601991</v>
      </c>
      <c r="C141" s="3" t="s">
        <v>153</v>
      </c>
      <c r="D141" s="4">
        <v>20318336</v>
      </c>
      <c r="E141" s="3" t="s">
        <v>303</v>
      </c>
      <c r="F141" s="4">
        <v>2</v>
      </c>
      <c r="G141" s="5">
        <v>16.5</v>
      </c>
      <c r="H141" s="5">
        <f t="shared" si="2"/>
        <v>33</v>
      </c>
    </row>
    <row r="142" customFormat="1" hidden="1" spans="1:8">
      <c r="A142" s="2">
        <v>46153</v>
      </c>
      <c r="B142" s="3">
        <v>1602014</v>
      </c>
      <c r="C142" s="3" t="s">
        <v>151</v>
      </c>
      <c r="D142" s="4">
        <v>20424977</v>
      </c>
      <c r="E142" s="3" t="s">
        <v>178</v>
      </c>
      <c r="F142" s="4">
        <v>1</v>
      </c>
      <c r="G142" s="5">
        <v>8</v>
      </c>
      <c r="H142" s="5">
        <f t="shared" si="2"/>
        <v>8</v>
      </c>
    </row>
    <row r="143" customFormat="1" hidden="1" spans="1:8">
      <c r="A143" s="2">
        <v>46153</v>
      </c>
      <c r="B143" s="3">
        <v>1602075</v>
      </c>
      <c r="C143" s="3" t="s">
        <v>150</v>
      </c>
      <c r="D143" s="4">
        <v>20312966</v>
      </c>
      <c r="E143" s="3" t="s">
        <v>258</v>
      </c>
      <c r="F143" s="4">
        <v>1</v>
      </c>
      <c r="G143" s="5">
        <v>159.5</v>
      </c>
      <c r="H143" s="5">
        <f t="shared" si="2"/>
        <v>159.5</v>
      </c>
    </row>
    <row r="144" customFormat="1" hidden="1" spans="1:8">
      <c r="A144" s="2">
        <v>46153</v>
      </c>
      <c r="B144" s="3">
        <v>1602075</v>
      </c>
      <c r="C144" s="3" t="s">
        <v>150</v>
      </c>
      <c r="D144" s="4">
        <v>20321251</v>
      </c>
      <c r="E144" s="3" t="s">
        <v>311</v>
      </c>
      <c r="F144" s="4">
        <v>1</v>
      </c>
      <c r="G144" s="5">
        <v>187</v>
      </c>
      <c r="H144" s="5">
        <f t="shared" si="2"/>
        <v>187</v>
      </c>
    </row>
    <row r="145" customFormat="1" hidden="1" spans="1:8">
      <c r="A145" s="2">
        <v>46153</v>
      </c>
      <c r="B145" s="3">
        <v>1602075</v>
      </c>
      <c r="C145" s="3" t="s">
        <v>151</v>
      </c>
      <c r="D145" s="4">
        <v>20410296</v>
      </c>
      <c r="E145" s="3" t="s">
        <v>188</v>
      </c>
      <c r="F145" s="4">
        <v>1</v>
      </c>
      <c r="G145" s="5">
        <v>16.5</v>
      </c>
      <c r="H145" s="5">
        <f t="shared" si="2"/>
        <v>16.5</v>
      </c>
    </row>
    <row r="146" customFormat="1" hidden="1" spans="1:8">
      <c r="A146" s="2">
        <v>46153</v>
      </c>
      <c r="B146" s="3">
        <v>1602075</v>
      </c>
      <c r="C146" s="3" t="s">
        <v>156</v>
      </c>
      <c r="D146" s="4">
        <v>20322235</v>
      </c>
      <c r="E146" s="3" t="s">
        <v>111</v>
      </c>
      <c r="F146" s="4">
        <v>5</v>
      </c>
      <c r="G146" s="5">
        <v>2.5</v>
      </c>
      <c r="H146" s="5">
        <f t="shared" si="2"/>
        <v>12.5</v>
      </c>
    </row>
    <row r="147" customFormat="1" hidden="1" spans="1:8">
      <c r="A147" s="2">
        <v>46153</v>
      </c>
      <c r="B147" s="3">
        <v>1602075</v>
      </c>
      <c r="C147" s="3" t="s">
        <v>156</v>
      </c>
      <c r="D147" s="4">
        <v>20322243</v>
      </c>
      <c r="E147" s="3" t="s">
        <v>117</v>
      </c>
      <c r="F147" s="4">
        <v>1</v>
      </c>
      <c r="G147" s="5">
        <v>30</v>
      </c>
      <c r="H147" s="5">
        <f t="shared" si="2"/>
        <v>30</v>
      </c>
    </row>
    <row r="148" customFormat="1" hidden="1" spans="1:8">
      <c r="A148" s="2">
        <v>46153</v>
      </c>
      <c r="B148" s="3">
        <v>1602075</v>
      </c>
      <c r="C148" s="3" t="s">
        <v>156</v>
      </c>
      <c r="D148" s="4">
        <v>20330757</v>
      </c>
      <c r="E148" s="3" t="s">
        <v>288</v>
      </c>
      <c r="F148" s="4">
        <v>3</v>
      </c>
      <c r="G148" s="5">
        <v>35</v>
      </c>
      <c r="H148" s="5">
        <f t="shared" si="2"/>
        <v>105</v>
      </c>
    </row>
    <row r="149" customFormat="1" hidden="1" spans="1:8">
      <c r="A149" s="2">
        <v>46153</v>
      </c>
      <c r="B149" s="3">
        <v>1602075</v>
      </c>
      <c r="C149" s="3" t="s">
        <v>152</v>
      </c>
      <c r="D149" s="4">
        <v>20366059</v>
      </c>
      <c r="E149" s="3" t="s">
        <v>194</v>
      </c>
      <c r="F149" s="4">
        <v>1</v>
      </c>
      <c r="G149" s="5">
        <v>66</v>
      </c>
      <c r="H149" s="5">
        <f t="shared" si="2"/>
        <v>66</v>
      </c>
    </row>
    <row r="150" customFormat="1" hidden="1" spans="1:8">
      <c r="A150" s="2">
        <v>46153</v>
      </c>
      <c r="B150" s="3">
        <v>1602075</v>
      </c>
      <c r="C150" s="3" t="s">
        <v>152</v>
      </c>
      <c r="D150" s="4">
        <v>20408950</v>
      </c>
      <c r="E150" s="3" t="s">
        <v>295</v>
      </c>
      <c r="F150" s="4">
        <v>1</v>
      </c>
      <c r="G150" s="5">
        <v>60.5</v>
      </c>
      <c r="H150" s="5">
        <f t="shared" si="2"/>
        <v>60.5</v>
      </c>
    </row>
    <row r="151" customFormat="1" hidden="1" spans="1:8">
      <c r="A151" s="2">
        <v>46153</v>
      </c>
      <c r="B151" s="3">
        <v>1602075</v>
      </c>
      <c r="C151" s="3" t="s">
        <v>153</v>
      </c>
      <c r="D151" s="4">
        <v>20321250</v>
      </c>
      <c r="E151" s="3" t="s">
        <v>259</v>
      </c>
      <c r="F151" s="4">
        <v>1</v>
      </c>
      <c r="G151" s="5">
        <v>16.5</v>
      </c>
      <c r="H151" s="5">
        <f t="shared" si="2"/>
        <v>16.5</v>
      </c>
    </row>
    <row r="152" customFormat="1" hidden="1" spans="1:8">
      <c r="A152" s="2">
        <v>46153</v>
      </c>
      <c r="B152" s="3">
        <v>1602075</v>
      </c>
      <c r="C152" s="3" t="s">
        <v>153</v>
      </c>
      <c r="D152" s="4">
        <v>20318383</v>
      </c>
      <c r="E152" s="3" t="s">
        <v>261</v>
      </c>
      <c r="F152" s="4">
        <v>1</v>
      </c>
      <c r="G152" s="5">
        <v>16.5</v>
      </c>
      <c r="H152" s="5">
        <f t="shared" si="2"/>
        <v>16.5</v>
      </c>
    </row>
    <row r="153" customFormat="1" hidden="1" spans="1:8">
      <c r="A153" s="2">
        <v>46153</v>
      </c>
      <c r="B153" s="3">
        <v>1602075</v>
      </c>
      <c r="C153" s="3" t="s">
        <v>153</v>
      </c>
      <c r="D153" s="4">
        <v>20318336</v>
      </c>
      <c r="E153" s="3" t="s">
        <v>303</v>
      </c>
      <c r="F153" s="4">
        <v>1</v>
      </c>
      <c r="G153" s="5">
        <v>16.5</v>
      </c>
      <c r="H153" s="5">
        <f t="shared" si="2"/>
        <v>16.5</v>
      </c>
    </row>
    <row r="154" customFormat="1" hidden="1" spans="1:8">
      <c r="A154" s="2">
        <v>46153</v>
      </c>
      <c r="B154" s="3">
        <v>1602077</v>
      </c>
      <c r="C154" s="3" t="s">
        <v>150</v>
      </c>
      <c r="D154" s="4">
        <v>20321476</v>
      </c>
      <c r="E154" s="3" t="s">
        <v>161</v>
      </c>
      <c r="F154" s="4">
        <v>1</v>
      </c>
      <c r="G154" s="5">
        <v>55</v>
      </c>
      <c r="H154" s="5">
        <f t="shared" si="2"/>
        <v>55</v>
      </c>
    </row>
    <row r="155" customFormat="1" hidden="1" spans="1:8">
      <c r="A155" s="2">
        <v>46153</v>
      </c>
      <c r="B155" s="3">
        <v>1602077</v>
      </c>
      <c r="C155" s="3" t="s">
        <v>150</v>
      </c>
      <c r="D155" s="4">
        <v>20312966</v>
      </c>
      <c r="E155" s="3" t="s">
        <v>258</v>
      </c>
      <c r="F155" s="4">
        <v>6</v>
      </c>
      <c r="G155" s="5">
        <v>159.5</v>
      </c>
      <c r="H155" s="5">
        <f t="shared" si="2"/>
        <v>957</v>
      </c>
    </row>
    <row r="156" customFormat="1" hidden="1" spans="1:8">
      <c r="A156" s="2">
        <v>46153</v>
      </c>
      <c r="B156" s="3">
        <v>1602077</v>
      </c>
      <c r="C156" s="3" t="s">
        <v>150</v>
      </c>
      <c r="D156" s="4">
        <v>20312965</v>
      </c>
      <c r="E156" s="3" t="s">
        <v>112</v>
      </c>
      <c r="F156" s="4">
        <v>2</v>
      </c>
      <c r="G156" s="5">
        <v>137.5</v>
      </c>
      <c r="H156" s="5">
        <f t="shared" si="2"/>
        <v>275</v>
      </c>
    </row>
    <row r="157" customFormat="1" hidden="1" spans="1:8">
      <c r="A157" s="2">
        <v>46153</v>
      </c>
      <c r="B157" s="3">
        <v>1602077</v>
      </c>
      <c r="C157" s="3" t="s">
        <v>150</v>
      </c>
      <c r="D157" s="4">
        <v>20312967</v>
      </c>
      <c r="E157" s="3" t="s">
        <v>289</v>
      </c>
      <c r="F157" s="4">
        <v>4</v>
      </c>
      <c r="G157" s="5">
        <v>176</v>
      </c>
      <c r="H157" s="5">
        <f t="shared" si="2"/>
        <v>704</v>
      </c>
    </row>
    <row r="158" customFormat="1" hidden="1" spans="1:8">
      <c r="A158" s="2">
        <v>46153</v>
      </c>
      <c r="B158" s="3">
        <v>1602077</v>
      </c>
      <c r="C158" s="3" t="s">
        <v>151</v>
      </c>
      <c r="D158" s="4">
        <v>20425035</v>
      </c>
      <c r="E158" s="3" t="s">
        <v>167</v>
      </c>
      <c r="F158" s="4">
        <v>2</v>
      </c>
      <c r="G158" s="5">
        <f>4*5.5</f>
        <v>22</v>
      </c>
      <c r="H158" s="5">
        <f t="shared" si="2"/>
        <v>44</v>
      </c>
    </row>
    <row r="159" customFormat="1" hidden="1" spans="1:8">
      <c r="A159" s="2">
        <v>46153</v>
      </c>
      <c r="B159" s="3">
        <v>1602077</v>
      </c>
      <c r="C159" s="3" t="s">
        <v>151</v>
      </c>
      <c r="D159" s="4">
        <v>20410957</v>
      </c>
      <c r="E159" s="3" t="s">
        <v>197</v>
      </c>
      <c r="F159" s="4">
        <v>1</v>
      </c>
      <c r="G159" s="5">
        <v>16.5</v>
      </c>
      <c r="H159" s="5">
        <f t="shared" si="2"/>
        <v>16.5</v>
      </c>
    </row>
    <row r="160" customFormat="1" hidden="1" spans="1:8">
      <c r="A160" s="2">
        <v>46153</v>
      </c>
      <c r="B160" s="3">
        <v>1602077</v>
      </c>
      <c r="C160" s="3" t="s">
        <v>151</v>
      </c>
      <c r="D160" s="4">
        <v>20374479</v>
      </c>
      <c r="E160" s="3" t="s">
        <v>220</v>
      </c>
      <c r="F160" s="4">
        <v>1</v>
      </c>
      <c r="G160" s="5">
        <v>8</v>
      </c>
      <c r="H160" s="5">
        <f t="shared" si="2"/>
        <v>8</v>
      </c>
    </row>
    <row r="161" customFormat="1" hidden="1" spans="1:8">
      <c r="A161" s="2">
        <v>46153</v>
      </c>
      <c r="B161" s="3">
        <v>1602077</v>
      </c>
      <c r="C161" s="3" t="s">
        <v>156</v>
      </c>
      <c r="D161" s="4">
        <v>20330757</v>
      </c>
      <c r="E161" s="3" t="s">
        <v>288</v>
      </c>
      <c r="F161" s="4">
        <v>1</v>
      </c>
      <c r="G161" s="5">
        <v>35</v>
      </c>
      <c r="H161" s="5">
        <f t="shared" si="2"/>
        <v>35</v>
      </c>
    </row>
    <row r="162" customFormat="1" hidden="1" spans="1:8">
      <c r="A162" s="2">
        <v>46153</v>
      </c>
      <c r="B162" s="3">
        <v>1602077</v>
      </c>
      <c r="C162" s="3" t="s">
        <v>153</v>
      </c>
      <c r="D162" s="4">
        <v>20318361</v>
      </c>
      <c r="E162" s="3" t="s">
        <v>185</v>
      </c>
      <c r="F162" s="4">
        <v>1</v>
      </c>
      <c r="G162" s="5">
        <v>16.5</v>
      </c>
      <c r="H162" s="5">
        <f t="shared" si="2"/>
        <v>16.5</v>
      </c>
    </row>
    <row r="163" customFormat="1" hidden="1" spans="1:8">
      <c r="A163" s="2">
        <v>46153</v>
      </c>
      <c r="B163" s="3">
        <v>1602077</v>
      </c>
      <c r="C163" s="3" t="s">
        <v>153</v>
      </c>
      <c r="D163" s="4">
        <v>20318375</v>
      </c>
      <c r="E163" s="3" t="s">
        <v>81</v>
      </c>
      <c r="F163" s="4">
        <v>1</v>
      </c>
      <c r="G163" s="5">
        <v>16.5</v>
      </c>
      <c r="H163" s="5">
        <f t="shared" si="2"/>
        <v>16.5</v>
      </c>
    </row>
    <row r="164" customFormat="1" hidden="1" spans="1:8">
      <c r="A164" s="2">
        <v>46153</v>
      </c>
      <c r="B164" s="3">
        <v>1602077</v>
      </c>
      <c r="C164" s="3" t="s">
        <v>153</v>
      </c>
      <c r="D164" s="4">
        <v>20338452</v>
      </c>
      <c r="E164" s="3" t="s">
        <v>234</v>
      </c>
      <c r="F164" s="4">
        <v>1</v>
      </c>
      <c r="G164" s="5">
        <v>16.5</v>
      </c>
      <c r="H164" s="5">
        <f t="shared" si="2"/>
        <v>16.5</v>
      </c>
    </row>
    <row r="165" customFormat="1" hidden="1" spans="1:8">
      <c r="A165" s="2">
        <v>46153</v>
      </c>
      <c r="B165" s="3">
        <v>1602077</v>
      </c>
      <c r="C165" s="3" t="s">
        <v>153</v>
      </c>
      <c r="D165" s="4">
        <v>20321250</v>
      </c>
      <c r="E165" s="3" t="s">
        <v>259</v>
      </c>
      <c r="F165" s="4">
        <v>1</v>
      </c>
      <c r="G165" s="5">
        <v>16.5</v>
      </c>
      <c r="H165" s="5">
        <f t="shared" si="2"/>
        <v>16.5</v>
      </c>
    </row>
    <row r="166" customFormat="1" hidden="1" spans="1:8">
      <c r="A166" s="2">
        <v>46153</v>
      </c>
      <c r="B166" s="3">
        <v>1602077</v>
      </c>
      <c r="C166" s="3" t="s">
        <v>153</v>
      </c>
      <c r="D166" s="4">
        <v>20322118</v>
      </c>
      <c r="E166" s="3" t="s">
        <v>306</v>
      </c>
      <c r="F166" s="4">
        <v>2</v>
      </c>
      <c r="G166" s="5">
        <v>16.5</v>
      </c>
      <c r="H166" s="5">
        <f t="shared" si="2"/>
        <v>33</v>
      </c>
    </row>
    <row r="167" customFormat="1" hidden="1" spans="1:8">
      <c r="A167" s="2">
        <v>46153</v>
      </c>
      <c r="B167" s="3">
        <v>1602077</v>
      </c>
      <c r="C167" s="3" t="s">
        <v>153</v>
      </c>
      <c r="D167" s="4">
        <v>20356051</v>
      </c>
      <c r="E167" s="3" t="s">
        <v>310</v>
      </c>
      <c r="F167" s="4">
        <v>1</v>
      </c>
      <c r="G167" s="5">
        <v>16.5</v>
      </c>
      <c r="H167" s="5">
        <f t="shared" si="2"/>
        <v>16.5</v>
      </c>
    </row>
    <row r="168" customFormat="1" hidden="1" spans="1:8">
      <c r="A168" s="10">
        <v>46153</v>
      </c>
      <c r="B168" s="11">
        <v>1602081</v>
      </c>
      <c r="C168" s="11" t="s">
        <v>150</v>
      </c>
      <c r="D168" s="12">
        <v>20334934</v>
      </c>
      <c r="E168" s="11" t="s">
        <v>262</v>
      </c>
      <c r="F168" s="12">
        <v>1</v>
      </c>
      <c r="G168" s="13">
        <v>121</v>
      </c>
      <c r="H168" s="13">
        <f t="shared" si="2"/>
        <v>121</v>
      </c>
    </row>
    <row r="169" customFormat="1" hidden="1" spans="1:8">
      <c r="A169" s="2">
        <v>46153</v>
      </c>
      <c r="B169" s="3">
        <v>1602091</v>
      </c>
      <c r="C169" s="3" t="s">
        <v>150</v>
      </c>
      <c r="D169" s="4">
        <v>20321719</v>
      </c>
      <c r="E169" s="3" t="s">
        <v>163</v>
      </c>
      <c r="F169" s="4">
        <v>1</v>
      </c>
      <c r="G169" s="5">
        <v>49.5</v>
      </c>
      <c r="H169" s="5">
        <f t="shared" si="2"/>
        <v>49.5</v>
      </c>
    </row>
    <row r="170" customFormat="1" hidden="1" spans="1:8">
      <c r="A170" s="2">
        <v>46153</v>
      </c>
      <c r="B170" s="3">
        <v>1602091</v>
      </c>
      <c r="C170" s="3" t="s">
        <v>150</v>
      </c>
      <c r="D170" s="4">
        <v>20312966</v>
      </c>
      <c r="E170" s="3" t="s">
        <v>258</v>
      </c>
      <c r="F170" s="4">
        <v>5</v>
      </c>
      <c r="G170" s="5">
        <v>159.5</v>
      </c>
      <c r="H170" s="5">
        <f t="shared" si="2"/>
        <v>797.5</v>
      </c>
    </row>
    <row r="171" customFormat="1" hidden="1" spans="1:8">
      <c r="A171" s="2">
        <v>46153</v>
      </c>
      <c r="B171" s="3">
        <v>1602091</v>
      </c>
      <c r="C171" s="3" t="s">
        <v>150</v>
      </c>
      <c r="D171" s="4">
        <v>20312965</v>
      </c>
      <c r="E171" s="3" t="s">
        <v>112</v>
      </c>
      <c r="F171" s="4">
        <v>1</v>
      </c>
      <c r="G171" s="5">
        <v>137.5</v>
      </c>
      <c r="H171" s="5">
        <f t="shared" si="2"/>
        <v>137.5</v>
      </c>
    </row>
    <row r="172" customFormat="1" hidden="1" spans="1:8">
      <c r="A172" s="2">
        <v>46153</v>
      </c>
      <c r="B172" s="3">
        <v>1602091</v>
      </c>
      <c r="C172" s="3" t="s">
        <v>150</v>
      </c>
      <c r="D172" s="4">
        <v>20312967</v>
      </c>
      <c r="E172" s="3" t="s">
        <v>289</v>
      </c>
      <c r="F172" s="4">
        <v>6</v>
      </c>
      <c r="G172" s="5">
        <v>176</v>
      </c>
      <c r="H172" s="5">
        <f t="shared" si="2"/>
        <v>1056</v>
      </c>
    </row>
    <row r="173" customFormat="1" hidden="1" spans="1:8">
      <c r="A173" s="2">
        <v>46153</v>
      </c>
      <c r="B173" s="3">
        <v>1602091</v>
      </c>
      <c r="C173" s="3" t="s">
        <v>150</v>
      </c>
      <c r="D173" s="4">
        <v>20424417</v>
      </c>
      <c r="E173" s="3" t="s">
        <v>312</v>
      </c>
      <c r="F173" s="4">
        <v>2</v>
      </c>
      <c r="G173" s="5">
        <v>66</v>
      </c>
      <c r="H173" s="5">
        <f t="shared" si="2"/>
        <v>132</v>
      </c>
    </row>
    <row r="174" customFormat="1" ht="25.5" hidden="1" spans="1:8">
      <c r="A174" s="2">
        <v>46153</v>
      </c>
      <c r="B174" s="3">
        <v>1602091</v>
      </c>
      <c r="C174" s="3" t="s">
        <v>154</v>
      </c>
      <c r="D174" s="4">
        <v>20326338</v>
      </c>
      <c r="E174" s="3" t="s">
        <v>269</v>
      </c>
      <c r="F174" s="4">
        <v>1</v>
      </c>
      <c r="G174" s="5">
        <v>55</v>
      </c>
      <c r="H174" s="5">
        <f t="shared" si="2"/>
        <v>55</v>
      </c>
    </row>
    <row r="175" customFormat="1" hidden="1" spans="1:8">
      <c r="A175" s="2">
        <v>46153</v>
      </c>
      <c r="B175" s="3">
        <v>1602091</v>
      </c>
      <c r="C175" s="3" t="s">
        <v>156</v>
      </c>
      <c r="D175" s="4">
        <v>20330757</v>
      </c>
      <c r="E175" s="3" t="s">
        <v>288</v>
      </c>
      <c r="F175" s="4">
        <v>1</v>
      </c>
      <c r="G175" s="5">
        <v>35</v>
      </c>
      <c r="H175" s="5">
        <f t="shared" si="2"/>
        <v>35</v>
      </c>
    </row>
    <row r="176" customFormat="1" hidden="1" spans="1:8">
      <c r="A176" s="2">
        <v>46153</v>
      </c>
      <c r="B176" s="3">
        <v>1602091</v>
      </c>
      <c r="C176" s="3" t="s">
        <v>152</v>
      </c>
      <c r="D176" s="4">
        <v>20366064</v>
      </c>
      <c r="E176" s="3" t="s">
        <v>195</v>
      </c>
      <c r="F176" s="4">
        <v>1</v>
      </c>
      <c r="G176" s="5">
        <v>71.5</v>
      </c>
      <c r="H176" s="5">
        <f t="shared" si="2"/>
        <v>71.5</v>
      </c>
    </row>
    <row r="177" customFormat="1" hidden="1" spans="1:8">
      <c r="A177" s="2">
        <v>46153</v>
      </c>
      <c r="B177" s="3">
        <v>1602091</v>
      </c>
      <c r="C177" s="3" t="s">
        <v>153</v>
      </c>
      <c r="D177" s="4">
        <v>20318375</v>
      </c>
      <c r="E177" s="3" t="s">
        <v>81</v>
      </c>
      <c r="F177" s="4">
        <v>1</v>
      </c>
      <c r="G177" s="5">
        <v>16.5</v>
      </c>
      <c r="H177" s="5">
        <f t="shared" si="2"/>
        <v>16.5</v>
      </c>
    </row>
    <row r="178" customFormat="1" hidden="1" spans="1:8">
      <c r="A178" s="2">
        <v>46153</v>
      </c>
      <c r="B178" s="3">
        <v>1602091</v>
      </c>
      <c r="C178" s="3" t="s">
        <v>153</v>
      </c>
      <c r="D178" s="4">
        <v>20014824</v>
      </c>
      <c r="E178" s="3" t="s">
        <v>85</v>
      </c>
      <c r="F178" s="4">
        <v>1</v>
      </c>
      <c r="G178" s="5">
        <v>16.5</v>
      </c>
      <c r="H178" s="5">
        <f t="shared" si="2"/>
        <v>16.5</v>
      </c>
    </row>
    <row r="179" customFormat="1" hidden="1" spans="1:8">
      <c r="A179" s="2">
        <v>46153</v>
      </c>
      <c r="B179" s="3">
        <v>1602091</v>
      </c>
      <c r="C179" s="3" t="s">
        <v>153</v>
      </c>
      <c r="D179" s="4">
        <v>20318378</v>
      </c>
      <c r="E179" s="3" t="s">
        <v>231</v>
      </c>
      <c r="F179" s="4">
        <v>2</v>
      </c>
      <c r="G179" s="5">
        <v>16.5</v>
      </c>
      <c r="H179" s="5">
        <f t="shared" si="2"/>
        <v>33</v>
      </c>
    </row>
    <row r="180" customFormat="1" hidden="1" spans="1:8">
      <c r="A180" s="2">
        <v>46153</v>
      </c>
      <c r="B180" s="3">
        <v>1602091</v>
      </c>
      <c r="C180" s="3" t="s">
        <v>153</v>
      </c>
      <c r="D180" s="4">
        <v>20318340</v>
      </c>
      <c r="E180" s="3" t="s">
        <v>240</v>
      </c>
      <c r="F180" s="4">
        <v>2</v>
      </c>
      <c r="G180" s="5">
        <v>16.5</v>
      </c>
      <c r="H180" s="5">
        <f t="shared" si="2"/>
        <v>33</v>
      </c>
    </row>
    <row r="181" customFormat="1" hidden="1" spans="1:8">
      <c r="A181" s="2">
        <v>46153</v>
      </c>
      <c r="B181" s="3">
        <v>1602091</v>
      </c>
      <c r="C181" s="3" t="s">
        <v>153</v>
      </c>
      <c r="D181" s="4">
        <v>20321250</v>
      </c>
      <c r="E181" s="3" t="s">
        <v>259</v>
      </c>
      <c r="F181" s="4">
        <v>1</v>
      </c>
      <c r="G181" s="5">
        <v>16.5</v>
      </c>
      <c r="H181" s="5">
        <f t="shared" si="2"/>
        <v>16.5</v>
      </c>
    </row>
    <row r="182" customFormat="1" hidden="1" spans="1:8">
      <c r="A182" s="2">
        <v>46153</v>
      </c>
      <c r="B182" s="3">
        <v>1602091</v>
      </c>
      <c r="C182" s="3" t="s">
        <v>153</v>
      </c>
      <c r="D182" s="4">
        <v>20383164</v>
      </c>
      <c r="E182" s="3" t="s">
        <v>273</v>
      </c>
      <c r="F182" s="4">
        <v>1</v>
      </c>
      <c r="G182" s="5">
        <v>22</v>
      </c>
      <c r="H182" s="5">
        <f t="shared" si="2"/>
        <v>22</v>
      </c>
    </row>
    <row r="183" customFormat="1" hidden="1" spans="1:8">
      <c r="A183" s="2">
        <v>46153</v>
      </c>
      <c r="B183" s="3">
        <v>1602091</v>
      </c>
      <c r="C183" s="3" t="s">
        <v>153</v>
      </c>
      <c r="D183" s="4">
        <v>20318393</v>
      </c>
      <c r="E183" s="3" t="s">
        <v>140</v>
      </c>
      <c r="F183" s="4">
        <v>1</v>
      </c>
      <c r="G183" s="5">
        <v>16.5</v>
      </c>
      <c r="H183" s="5">
        <f t="shared" si="2"/>
        <v>16.5</v>
      </c>
    </row>
    <row r="184" customFormat="1" hidden="1" spans="1:8">
      <c r="A184" s="2">
        <v>46154</v>
      </c>
      <c r="B184" s="3">
        <v>1602288</v>
      </c>
      <c r="C184" s="3" t="s">
        <v>150</v>
      </c>
      <c r="D184" s="4">
        <v>20313009</v>
      </c>
      <c r="E184" s="3" t="s">
        <v>252</v>
      </c>
      <c r="F184" s="4">
        <v>1</v>
      </c>
      <c r="G184" s="5">
        <v>242</v>
      </c>
      <c r="H184" s="5">
        <f t="shared" si="2"/>
        <v>242</v>
      </c>
    </row>
    <row r="185" customFormat="1" hidden="1" spans="1:8">
      <c r="A185" s="2">
        <v>46154</v>
      </c>
      <c r="B185" s="3">
        <v>1602288</v>
      </c>
      <c r="C185" s="3" t="s">
        <v>150</v>
      </c>
      <c r="D185" s="4">
        <v>20312966</v>
      </c>
      <c r="E185" s="3" t="s">
        <v>258</v>
      </c>
      <c r="F185" s="4">
        <v>4</v>
      </c>
      <c r="G185" s="5">
        <v>159.5</v>
      </c>
      <c r="H185" s="5">
        <f t="shared" si="2"/>
        <v>638</v>
      </c>
    </row>
    <row r="186" customFormat="1" hidden="1" spans="1:8">
      <c r="A186" s="2">
        <v>46154</v>
      </c>
      <c r="B186" s="3">
        <v>1602288</v>
      </c>
      <c r="C186" s="3" t="s">
        <v>150</v>
      </c>
      <c r="D186" s="4">
        <v>20312965</v>
      </c>
      <c r="E186" s="3" t="s">
        <v>112</v>
      </c>
      <c r="F186" s="4">
        <v>5</v>
      </c>
      <c r="G186" s="5">
        <v>137.5</v>
      </c>
      <c r="H186" s="5">
        <f t="shared" si="2"/>
        <v>687.5</v>
      </c>
    </row>
    <row r="187" customFormat="1" hidden="1" spans="1:8">
      <c r="A187" s="2">
        <v>46154</v>
      </c>
      <c r="B187" s="3">
        <v>1602288</v>
      </c>
      <c r="C187" s="3" t="s">
        <v>150</v>
      </c>
      <c r="D187" s="4">
        <v>20312967</v>
      </c>
      <c r="E187" s="3" t="s">
        <v>289</v>
      </c>
      <c r="F187" s="4">
        <v>6</v>
      </c>
      <c r="G187" s="5">
        <v>176</v>
      </c>
      <c r="H187" s="5">
        <f t="shared" si="2"/>
        <v>1056</v>
      </c>
    </row>
    <row r="188" customFormat="1" hidden="1" spans="1:8">
      <c r="A188" s="2">
        <v>46154</v>
      </c>
      <c r="B188" s="3">
        <v>1602288</v>
      </c>
      <c r="C188" s="3" t="s">
        <v>151</v>
      </c>
      <c r="D188" s="4">
        <v>20354360</v>
      </c>
      <c r="E188" s="3" t="s">
        <v>177</v>
      </c>
      <c r="F188" s="4">
        <v>2</v>
      </c>
      <c r="G188" s="5">
        <v>13.5</v>
      </c>
      <c r="H188" s="5">
        <f t="shared" si="2"/>
        <v>27</v>
      </c>
    </row>
    <row r="189" customFormat="1" hidden="1" spans="1:8">
      <c r="A189" s="2">
        <v>46154</v>
      </c>
      <c r="B189" s="3">
        <v>1602288</v>
      </c>
      <c r="C189" s="3" t="s">
        <v>151</v>
      </c>
      <c r="D189" s="4">
        <v>20374480</v>
      </c>
      <c r="E189" s="3" t="s">
        <v>223</v>
      </c>
      <c r="F189" s="4">
        <v>1</v>
      </c>
      <c r="G189" s="5">
        <v>8</v>
      </c>
      <c r="H189" s="5">
        <f t="shared" si="2"/>
        <v>8</v>
      </c>
    </row>
    <row r="190" customFormat="1" hidden="1" spans="1:8">
      <c r="A190" s="2">
        <v>46154</v>
      </c>
      <c r="B190" s="3">
        <v>1602288</v>
      </c>
      <c r="C190" s="3" t="s">
        <v>151</v>
      </c>
      <c r="D190" s="4">
        <v>20318395</v>
      </c>
      <c r="E190" s="3" t="s">
        <v>309</v>
      </c>
      <c r="F190" s="4">
        <v>2</v>
      </c>
      <c r="G190" s="5">
        <v>16.5</v>
      </c>
      <c r="H190" s="5">
        <f t="shared" si="2"/>
        <v>33</v>
      </c>
    </row>
    <row r="191" customFormat="1" hidden="1" spans="1:8">
      <c r="A191" s="2">
        <v>46154</v>
      </c>
      <c r="B191" s="3">
        <v>1602288</v>
      </c>
      <c r="C191" s="3" t="s">
        <v>156</v>
      </c>
      <c r="D191" s="4">
        <v>20322304</v>
      </c>
      <c r="E191" s="3" t="s">
        <v>275</v>
      </c>
      <c r="F191" s="4">
        <v>6</v>
      </c>
      <c r="G191" s="5">
        <v>25</v>
      </c>
      <c r="H191" s="5">
        <f t="shared" si="2"/>
        <v>150</v>
      </c>
    </row>
    <row r="192" customFormat="1" hidden="1" spans="1:8">
      <c r="A192" s="2">
        <v>46154</v>
      </c>
      <c r="B192" s="3">
        <v>1602288</v>
      </c>
      <c r="C192" s="3" t="s">
        <v>156</v>
      </c>
      <c r="D192" s="4">
        <v>20330757</v>
      </c>
      <c r="E192" s="3" t="s">
        <v>288</v>
      </c>
      <c r="F192" s="4">
        <v>2</v>
      </c>
      <c r="G192" s="5">
        <v>35</v>
      </c>
      <c r="H192" s="5">
        <f t="shared" si="2"/>
        <v>70</v>
      </c>
    </row>
    <row r="193" customFormat="1" hidden="1" spans="1:9">
      <c r="A193" s="2">
        <v>46154</v>
      </c>
      <c r="B193" s="3">
        <v>1602288</v>
      </c>
      <c r="C193" s="3" t="s">
        <v>153</v>
      </c>
      <c r="D193" s="4">
        <v>20321257</v>
      </c>
      <c r="E193" s="3" t="s">
        <v>68</v>
      </c>
      <c r="F193" s="4">
        <v>7</v>
      </c>
      <c r="G193" s="5">
        <v>16.5</v>
      </c>
      <c r="H193" s="5">
        <f t="shared" si="2"/>
        <v>115.5</v>
      </c>
    </row>
    <row r="194" customFormat="1" hidden="1" spans="1:9">
      <c r="A194" s="2">
        <v>46154</v>
      </c>
      <c r="B194" s="3">
        <v>1602288</v>
      </c>
      <c r="C194" s="3" t="s">
        <v>153</v>
      </c>
      <c r="D194" s="4">
        <v>20318334</v>
      </c>
      <c r="E194" s="3" t="s">
        <v>186</v>
      </c>
      <c r="F194" s="4">
        <v>1</v>
      </c>
      <c r="G194" s="5">
        <v>16.5</v>
      </c>
      <c r="H194" s="5">
        <f t="shared" ref="H194:H257" si="3">G194*F194</f>
        <v>16.5</v>
      </c>
    </row>
    <row r="195" customFormat="1" hidden="1" spans="1:9">
      <c r="A195" s="2">
        <v>46154</v>
      </c>
      <c r="B195" s="3">
        <v>1602288</v>
      </c>
      <c r="C195" s="3" t="s">
        <v>153</v>
      </c>
      <c r="D195" s="4">
        <v>20369096</v>
      </c>
      <c r="E195" s="3" t="s">
        <v>224</v>
      </c>
      <c r="F195" s="4">
        <v>1</v>
      </c>
      <c r="G195" s="5">
        <v>16.5</v>
      </c>
      <c r="H195" s="5">
        <f t="shared" si="3"/>
        <v>16.5</v>
      </c>
    </row>
    <row r="196" customFormat="1" hidden="1" spans="1:9">
      <c r="A196" s="2">
        <v>46154</v>
      </c>
      <c r="B196" s="3">
        <v>1602288</v>
      </c>
      <c r="C196" s="3" t="s">
        <v>153</v>
      </c>
      <c r="D196" s="4">
        <v>20318340</v>
      </c>
      <c r="E196" s="3" t="s">
        <v>240</v>
      </c>
      <c r="F196" s="4">
        <v>1</v>
      </c>
      <c r="G196" s="5">
        <v>16.5</v>
      </c>
      <c r="H196" s="5">
        <f t="shared" si="3"/>
        <v>16.5</v>
      </c>
    </row>
    <row r="197" customFormat="1" hidden="1" spans="1:9">
      <c r="A197" s="2">
        <v>46154</v>
      </c>
      <c r="B197" s="3">
        <v>1602288</v>
      </c>
      <c r="C197" s="3" t="s">
        <v>153</v>
      </c>
      <c r="D197" s="4">
        <v>20321250</v>
      </c>
      <c r="E197" s="3" t="s">
        <v>259</v>
      </c>
      <c r="F197" s="4">
        <v>2</v>
      </c>
      <c r="G197" s="5">
        <v>16.5</v>
      </c>
      <c r="H197" s="5">
        <f t="shared" si="3"/>
        <v>33</v>
      </c>
    </row>
    <row r="198" customFormat="1" hidden="1" spans="1:9">
      <c r="A198" s="2">
        <v>46154</v>
      </c>
      <c r="B198" s="3">
        <v>1602288</v>
      </c>
      <c r="C198" s="3" t="s">
        <v>153</v>
      </c>
      <c r="D198" s="4">
        <v>20340289</v>
      </c>
      <c r="E198" s="3" t="s">
        <v>272</v>
      </c>
      <c r="F198" s="4">
        <v>4</v>
      </c>
      <c r="G198" s="5">
        <v>16.5</v>
      </c>
      <c r="H198" s="5">
        <f t="shared" si="3"/>
        <v>66</v>
      </c>
    </row>
    <row r="199" customFormat="1" hidden="1" spans="1:9">
      <c r="A199" s="2">
        <v>46154</v>
      </c>
      <c r="B199" s="3">
        <v>1602288</v>
      </c>
      <c r="C199" s="3" t="s">
        <v>153</v>
      </c>
      <c r="D199" s="4">
        <v>20383164</v>
      </c>
      <c r="E199" s="3" t="s">
        <v>273</v>
      </c>
      <c r="F199" s="4">
        <v>1</v>
      </c>
      <c r="G199" s="5">
        <v>22</v>
      </c>
      <c r="H199" s="5">
        <f t="shared" si="3"/>
        <v>22</v>
      </c>
    </row>
    <row r="200" customFormat="1" hidden="1" spans="1:9">
      <c r="A200" s="2">
        <v>46154</v>
      </c>
      <c r="B200" s="3">
        <v>1602288</v>
      </c>
      <c r="C200" s="3" t="s">
        <v>153</v>
      </c>
      <c r="D200" s="4">
        <v>20318336</v>
      </c>
      <c r="E200" s="3" t="s">
        <v>303</v>
      </c>
      <c r="F200" s="4">
        <v>1</v>
      </c>
      <c r="G200" s="5">
        <v>16.5</v>
      </c>
      <c r="H200" s="5">
        <f t="shared" si="3"/>
        <v>16.5</v>
      </c>
    </row>
    <row r="201" customFormat="1" hidden="1" spans="1:9">
      <c r="A201" s="2">
        <v>46154</v>
      </c>
      <c r="B201" s="3">
        <v>1602288</v>
      </c>
      <c r="C201" s="3" t="s">
        <v>153</v>
      </c>
      <c r="D201" s="4">
        <v>20318342</v>
      </c>
      <c r="E201" s="3" t="s">
        <v>304</v>
      </c>
      <c r="F201" s="4">
        <v>2</v>
      </c>
      <c r="G201" s="5">
        <v>16.5</v>
      </c>
      <c r="H201" s="5">
        <f t="shared" si="3"/>
        <v>33</v>
      </c>
    </row>
    <row r="202" customFormat="1" hidden="1" spans="1:9">
      <c r="A202" s="2">
        <v>46154</v>
      </c>
      <c r="B202" s="3">
        <v>1602294</v>
      </c>
      <c r="C202" s="3" t="s">
        <v>150</v>
      </c>
      <c r="D202" s="4">
        <v>20312982</v>
      </c>
      <c r="E202" s="3" t="s">
        <v>174</v>
      </c>
      <c r="F202" s="4">
        <v>1</v>
      </c>
      <c r="G202" s="5">
        <v>214.5</v>
      </c>
      <c r="H202" s="5">
        <f t="shared" si="3"/>
        <v>214.5</v>
      </c>
    </row>
    <row r="203" customFormat="1" hidden="1" spans="1:9">
      <c r="A203" s="2">
        <v>46154</v>
      </c>
      <c r="B203" s="3">
        <v>1602294</v>
      </c>
      <c r="C203" s="3" t="s">
        <v>150</v>
      </c>
      <c r="D203" s="4">
        <v>20318372</v>
      </c>
      <c r="E203" s="3" t="s">
        <v>242</v>
      </c>
      <c r="F203" s="4">
        <v>1</v>
      </c>
      <c r="G203" s="5">
        <v>286</v>
      </c>
      <c r="H203" s="5">
        <f t="shared" si="3"/>
        <v>286</v>
      </c>
    </row>
    <row r="204" customFormat="1" hidden="1" spans="1:9">
      <c r="A204" s="2">
        <v>46154</v>
      </c>
      <c r="B204" s="3">
        <v>1602294</v>
      </c>
      <c r="C204" s="3" t="s">
        <v>150</v>
      </c>
      <c r="D204" s="4">
        <v>20312966</v>
      </c>
      <c r="E204" s="3" t="s">
        <v>258</v>
      </c>
      <c r="F204" s="4">
        <v>2</v>
      </c>
      <c r="G204" s="5">
        <v>159.5</v>
      </c>
      <c r="H204" s="5">
        <f t="shared" si="3"/>
        <v>319</v>
      </c>
    </row>
    <row r="205" customFormat="1" hidden="1" spans="1:9">
      <c r="A205" s="2">
        <v>46154</v>
      </c>
      <c r="B205" s="3">
        <v>1602294</v>
      </c>
      <c r="C205" s="3" t="s">
        <v>150</v>
      </c>
      <c r="D205" s="4">
        <v>20312965</v>
      </c>
      <c r="E205" s="3" t="s">
        <v>112</v>
      </c>
      <c r="F205" s="4">
        <v>1</v>
      </c>
      <c r="G205" s="5">
        <v>137.5</v>
      </c>
      <c r="H205" s="5">
        <f t="shared" si="3"/>
        <v>137.5</v>
      </c>
    </row>
    <row r="206" customFormat="1" hidden="1" spans="1:9">
      <c r="A206" s="2">
        <v>46154</v>
      </c>
      <c r="B206" s="3">
        <v>1602294</v>
      </c>
      <c r="C206" s="3" t="s">
        <v>150</v>
      </c>
      <c r="D206" s="4">
        <v>20312967</v>
      </c>
      <c r="E206" s="3" t="s">
        <v>289</v>
      </c>
      <c r="F206" s="4">
        <v>4</v>
      </c>
      <c r="G206" s="5">
        <v>176</v>
      </c>
      <c r="H206" s="5">
        <f t="shared" si="3"/>
        <v>704</v>
      </c>
    </row>
    <row r="207" customFormat="1" spans="1:9">
      <c r="A207" s="2">
        <v>46154</v>
      </c>
      <c r="B207" s="3">
        <v>1602294</v>
      </c>
      <c r="C207" s="3" t="s">
        <v>150</v>
      </c>
      <c r="D207" s="4">
        <v>20414050</v>
      </c>
      <c r="E207" s="3" t="s">
        <v>298</v>
      </c>
      <c r="F207" s="4">
        <v>1</v>
      </c>
      <c r="G207" s="5">
        <v>99</v>
      </c>
      <c r="H207" s="5">
        <f t="shared" si="3"/>
        <v>99</v>
      </c>
      <c r="I207">
        <f>G207/5.5</f>
        <v>18</v>
      </c>
    </row>
    <row r="208" customFormat="1" hidden="1" spans="1:9">
      <c r="A208" s="2">
        <v>46154</v>
      </c>
      <c r="B208" s="3">
        <v>1602294</v>
      </c>
      <c r="C208" s="3" t="s">
        <v>151</v>
      </c>
      <c r="D208" s="4">
        <v>20410156</v>
      </c>
      <c r="E208" s="3" t="s">
        <v>192</v>
      </c>
      <c r="F208" s="4">
        <v>1</v>
      </c>
      <c r="G208" s="5">
        <v>16.5</v>
      </c>
      <c r="H208" s="5">
        <f t="shared" si="3"/>
        <v>16.5</v>
      </c>
    </row>
    <row r="209" customFormat="1" hidden="1" spans="1:8">
      <c r="A209" s="2">
        <v>46154</v>
      </c>
      <c r="B209" s="3">
        <v>1602294</v>
      </c>
      <c r="C209" s="3" t="s">
        <v>151</v>
      </c>
      <c r="D209" s="4">
        <v>20410957</v>
      </c>
      <c r="E209" s="3" t="s">
        <v>197</v>
      </c>
      <c r="F209" s="4">
        <v>1</v>
      </c>
      <c r="G209" s="5">
        <v>16.5</v>
      </c>
      <c r="H209" s="5">
        <f t="shared" si="3"/>
        <v>16.5</v>
      </c>
    </row>
    <row r="210" customFormat="1" hidden="1" spans="1:8">
      <c r="A210" s="2">
        <v>46154</v>
      </c>
      <c r="B210" s="3">
        <v>1602294</v>
      </c>
      <c r="C210" s="3" t="s">
        <v>156</v>
      </c>
      <c r="D210" s="4">
        <v>20322235</v>
      </c>
      <c r="E210" s="3" t="s">
        <v>111</v>
      </c>
      <c r="F210" s="4">
        <v>2</v>
      </c>
      <c r="G210" s="5">
        <v>2.5</v>
      </c>
      <c r="H210" s="5">
        <f t="shared" si="3"/>
        <v>5</v>
      </c>
    </row>
    <row r="211" customFormat="1" hidden="1" spans="1:8">
      <c r="A211" s="2">
        <v>46154</v>
      </c>
      <c r="B211" s="3">
        <v>1602294</v>
      </c>
      <c r="C211" s="3" t="s">
        <v>156</v>
      </c>
      <c r="D211" s="4">
        <v>20322243</v>
      </c>
      <c r="E211" s="3" t="s">
        <v>117</v>
      </c>
      <c r="F211" s="4">
        <v>1</v>
      </c>
      <c r="G211" s="5">
        <v>30</v>
      </c>
      <c r="H211" s="5">
        <f t="shared" si="3"/>
        <v>30</v>
      </c>
    </row>
    <row r="212" customFormat="1" hidden="1" spans="1:8">
      <c r="A212" s="2">
        <v>46154</v>
      </c>
      <c r="B212" s="3">
        <v>1602294</v>
      </c>
      <c r="C212" s="3" t="s">
        <v>156</v>
      </c>
      <c r="D212" s="4">
        <v>20330757</v>
      </c>
      <c r="E212" s="3" t="s">
        <v>288</v>
      </c>
      <c r="F212" s="4">
        <v>4</v>
      </c>
      <c r="G212" s="5">
        <v>35</v>
      </c>
      <c r="H212" s="5">
        <f t="shared" si="3"/>
        <v>140</v>
      </c>
    </row>
    <row r="213" customFormat="1" hidden="1" spans="1:8">
      <c r="A213" s="2">
        <v>46154</v>
      </c>
      <c r="B213" s="3">
        <v>1602294</v>
      </c>
      <c r="C213" s="3" t="s">
        <v>156</v>
      </c>
      <c r="D213" s="4">
        <v>20323697</v>
      </c>
      <c r="E213" s="3" t="s">
        <v>290</v>
      </c>
      <c r="F213" s="4">
        <v>1</v>
      </c>
      <c r="G213" s="5">
        <v>4</v>
      </c>
      <c r="H213" s="5">
        <f t="shared" si="3"/>
        <v>4</v>
      </c>
    </row>
    <row r="214" customFormat="1" hidden="1" spans="1:8">
      <c r="A214" s="2">
        <v>46154</v>
      </c>
      <c r="B214" s="3">
        <v>1602294</v>
      </c>
      <c r="C214" s="3" t="s">
        <v>153</v>
      </c>
      <c r="D214" s="4">
        <v>20321250</v>
      </c>
      <c r="E214" s="3" t="s">
        <v>259</v>
      </c>
      <c r="F214" s="4">
        <v>1</v>
      </c>
      <c r="G214" s="5">
        <v>16.5</v>
      </c>
      <c r="H214" s="5">
        <f t="shared" si="3"/>
        <v>16.5</v>
      </c>
    </row>
    <row r="215" customFormat="1" hidden="1" spans="1:8">
      <c r="A215" s="2">
        <v>46154</v>
      </c>
      <c r="B215" s="3">
        <v>1602294</v>
      </c>
      <c r="C215" s="3" t="s">
        <v>153</v>
      </c>
      <c r="D215" s="4">
        <v>20407575</v>
      </c>
      <c r="E215" s="3" t="s">
        <v>284</v>
      </c>
      <c r="F215" s="4">
        <v>1</v>
      </c>
      <c r="G215" s="5">
        <v>16.5</v>
      </c>
      <c r="H215" s="5">
        <f t="shared" si="3"/>
        <v>16.5</v>
      </c>
    </row>
    <row r="216" customFormat="1" hidden="1" spans="1:8">
      <c r="A216" s="2">
        <v>46154</v>
      </c>
      <c r="B216" s="3">
        <v>1602350</v>
      </c>
      <c r="C216" s="3" t="s">
        <v>150</v>
      </c>
      <c r="D216" s="4">
        <v>20312967</v>
      </c>
      <c r="E216" s="3" t="s">
        <v>289</v>
      </c>
      <c r="F216" s="4">
        <v>1</v>
      </c>
      <c r="G216" s="5">
        <v>176</v>
      </c>
      <c r="H216" s="5">
        <f t="shared" si="3"/>
        <v>176</v>
      </c>
    </row>
    <row r="217" customFormat="1" hidden="1" spans="1:8">
      <c r="A217" s="2">
        <v>46154</v>
      </c>
      <c r="B217" s="3">
        <v>1602350</v>
      </c>
      <c r="C217" s="3" t="s">
        <v>151</v>
      </c>
      <c r="D217" s="4">
        <v>20318363</v>
      </c>
      <c r="E217" s="3" t="s">
        <v>94</v>
      </c>
      <c r="F217" s="4">
        <v>1</v>
      </c>
      <c r="G217" s="5">
        <v>8</v>
      </c>
      <c r="H217" s="5">
        <f t="shared" si="3"/>
        <v>8</v>
      </c>
    </row>
    <row r="218" customFormat="1" hidden="1" spans="1:8">
      <c r="A218" s="2">
        <v>46154</v>
      </c>
      <c r="B218" s="3">
        <v>1602350</v>
      </c>
      <c r="C218" s="3" t="s">
        <v>153</v>
      </c>
      <c r="D218" s="4">
        <v>20321257</v>
      </c>
      <c r="E218" s="3" t="s">
        <v>68</v>
      </c>
      <c r="F218" s="4">
        <v>8</v>
      </c>
      <c r="G218" s="5">
        <v>16.5</v>
      </c>
      <c r="H218" s="5">
        <f t="shared" si="3"/>
        <v>132</v>
      </c>
    </row>
    <row r="219" customFormat="1" hidden="1" spans="1:8">
      <c r="A219" s="2">
        <v>46154</v>
      </c>
      <c r="B219" s="3">
        <v>1602350</v>
      </c>
      <c r="C219" s="3" t="s">
        <v>153</v>
      </c>
      <c r="D219" s="4">
        <v>20363041</v>
      </c>
      <c r="E219" s="3" t="s">
        <v>187</v>
      </c>
      <c r="F219" s="4">
        <v>1</v>
      </c>
      <c r="G219" s="5">
        <v>16.5</v>
      </c>
      <c r="H219" s="5">
        <f t="shared" si="3"/>
        <v>16.5</v>
      </c>
    </row>
    <row r="220" customFormat="1" hidden="1" spans="1:8">
      <c r="A220" s="2">
        <v>46154</v>
      </c>
      <c r="B220" s="3">
        <v>1602350</v>
      </c>
      <c r="C220" s="3" t="s">
        <v>153</v>
      </c>
      <c r="D220" s="4">
        <v>20340289</v>
      </c>
      <c r="E220" s="3" t="s">
        <v>272</v>
      </c>
      <c r="F220" s="4">
        <v>1</v>
      </c>
      <c r="G220" s="5">
        <v>16.5</v>
      </c>
      <c r="H220" s="5">
        <f t="shared" si="3"/>
        <v>16.5</v>
      </c>
    </row>
    <row r="221" customFormat="1" hidden="1" spans="1:8">
      <c r="A221" s="10">
        <v>46154</v>
      </c>
      <c r="B221" s="11">
        <v>1602368</v>
      </c>
      <c r="C221" s="11" t="s">
        <v>150</v>
      </c>
      <c r="D221" s="12">
        <v>20334934</v>
      </c>
      <c r="E221" s="11" t="s">
        <v>262</v>
      </c>
      <c r="F221" s="12">
        <v>1</v>
      </c>
      <c r="G221" s="13">
        <v>121</v>
      </c>
      <c r="H221" s="13">
        <f t="shared" si="3"/>
        <v>121</v>
      </c>
    </row>
    <row r="222" customFormat="1" hidden="1" spans="1:8">
      <c r="A222" s="2">
        <v>46154</v>
      </c>
      <c r="B222" s="3">
        <v>1602368</v>
      </c>
      <c r="C222" s="3" t="s">
        <v>152</v>
      </c>
      <c r="D222" s="4">
        <v>20366059</v>
      </c>
      <c r="E222" s="3" t="s">
        <v>194</v>
      </c>
      <c r="F222" s="4">
        <v>1</v>
      </c>
      <c r="G222" s="5">
        <v>66</v>
      </c>
      <c r="H222" s="5">
        <f t="shared" si="3"/>
        <v>66</v>
      </c>
    </row>
    <row r="223" customFormat="1" hidden="1" spans="1:8">
      <c r="A223" s="2">
        <v>46154</v>
      </c>
      <c r="B223" s="3">
        <v>1602373</v>
      </c>
      <c r="C223" s="3" t="s">
        <v>150</v>
      </c>
      <c r="D223" s="4">
        <v>20312966</v>
      </c>
      <c r="E223" s="3" t="s">
        <v>258</v>
      </c>
      <c r="F223" s="4">
        <v>2</v>
      </c>
      <c r="G223" s="5">
        <v>159.5</v>
      </c>
      <c r="H223" s="5">
        <f t="shared" si="3"/>
        <v>319</v>
      </c>
    </row>
    <row r="224" customFormat="1" hidden="1" spans="1:8">
      <c r="A224" s="2">
        <v>46154</v>
      </c>
      <c r="B224" s="3">
        <v>1602373</v>
      </c>
      <c r="C224" s="3" t="s">
        <v>150</v>
      </c>
      <c r="D224" s="4">
        <v>20312965</v>
      </c>
      <c r="E224" s="3" t="s">
        <v>112</v>
      </c>
      <c r="F224" s="4">
        <v>2</v>
      </c>
      <c r="G224" s="5">
        <v>137.5</v>
      </c>
      <c r="H224" s="5">
        <f t="shared" si="3"/>
        <v>275</v>
      </c>
    </row>
    <row r="225" customFormat="1" hidden="1" spans="1:8">
      <c r="A225" s="2">
        <v>46154</v>
      </c>
      <c r="B225" s="3">
        <v>1602373</v>
      </c>
      <c r="C225" s="3" t="s">
        <v>150</v>
      </c>
      <c r="D225" s="4">
        <v>20312967</v>
      </c>
      <c r="E225" s="3" t="s">
        <v>289</v>
      </c>
      <c r="F225" s="4">
        <v>2</v>
      </c>
      <c r="G225" s="5">
        <v>176</v>
      </c>
      <c r="H225" s="5">
        <f t="shared" si="3"/>
        <v>352</v>
      </c>
    </row>
    <row r="226" customFormat="1" hidden="1" spans="1:8">
      <c r="A226" s="2">
        <v>46154</v>
      </c>
      <c r="B226" s="3">
        <v>1602373</v>
      </c>
      <c r="C226" s="3" t="s">
        <v>150</v>
      </c>
      <c r="D226" s="4">
        <v>20321251</v>
      </c>
      <c r="E226" s="3" t="s">
        <v>311</v>
      </c>
      <c r="F226" s="4">
        <v>1</v>
      </c>
      <c r="G226" s="5">
        <v>187</v>
      </c>
      <c r="H226" s="5">
        <f t="shared" si="3"/>
        <v>187</v>
      </c>
    </row>
    <row r="227" customFormat="1" hidden="1" spans="1:8">
      <c r="A227" s="2">
        <v>46154</v>
      </c>
      <c r="B227" s="3">
        <v>1602373</v>
      </c>
      <c r="C227" s="3" t="s">
        <v>152</v>
      </c>
      <c r="D227" s="4">
        <v>20340286</v>
      </c>
      <c r="E227" s="3" t="s">
        <v>169</v>
      </c>
      <c r="F227" s="4">
        <v>2</v>
      </c>
      <c r="G227" s="5">
        <v>55</v>
      </c>
      <c r="H227" s="5">
        <f t="shared" si="3"/>
        <v>110</v>
      </c>
    </row>
    <row r="228" customFormat="1" hidden="1" spans="1:8">
      <c r="A228" s="2">
        <v>46154</v>
      </c>
      <c r="B228" s="3">
        <v>1602373</v>
      </c>
      <c r="C228" s="3" t="s">
        <v>153</v>
      </c>
      <c r="D228" s="4">
        <v>20318336</v>
      </c>
      <c r="E228" s="3" t="s">
        <v>303</v>
      </c>
      <c r="F228" s="4">
        <v>1</v>
      </c>
      <c r="G228" s="5">
        <v>16.5</v>
      </c>
      <c r="H228" s="5">
        <f t="shared" si="3"/>
        <v>16.5</v>
      </c>
    </row>
    <row r="229" customFormat="1" ht="25.5" hidden="1" spans="1:8">
      <c r="A229" s="2">
        <v>46154</v>
      </c>
      <c r="B229" s="3">
        <v>1602420</v>
      </c>
      <c r="C229" s="3" t="s">
        <v>154</v>
      </c>
      <c r="D229" s="4">
        <v>20326338</v>
      </c>
      <c r="E229" s="3" t="s">
        <v>269</v>
      </c>
      <c r="F229" s="4">
        <v>1</v>
      </c>
      <c r="G229" s="5">
        <v>55</v>
      </c>
      <c r="H229" s="5">
        <f t="shared" si="3"/>
        <v>55</v>
      </c>
    </row>
    <row r="230" customFormat="1" hidden="1" spans="1:8">
      <c r="A230" s="2">
        <v>46154</v>
      </c>
      <c r="B230" s="3">
        <v>1602420</v>
      </c>
      <c r="C230" s="3" t="s">
        <v>156</v>
      </c>
      <c r="D230" s="4">
        <v>20322243</v>
      </c>
      <c r="E230" s="3" t="s">
        <v>117</v>
      </c>
      <c r="F230" s="4">
        <v>2</v>
      </c>
      <c r="G230" s="5">
        <v>30</v>
      </c>
      <c r="H230" s="5">
        <f t="shared" si="3"/>
        <v>60</v>
      </c>
    </row>
    <row r="231" customFormat="1" hidden="1" spans="1:8">
      <c r="A231" s="2">
        <v>46154</v>
      </c>
      <c r="B231" s="3">
        <v>1602420</v>
      </c>
      <c r="C231" s="3" t="s">
        <v>156</v>
      </c>
      <c r="D231" s="4">
        <v>20330757</v>
      </c>
      <c r="E231" s="3" t="s">
        <v>288</v>
      </c>
      <c r="F231" s="4">
        <v>4</v>
      </c>
      <c r="G231" s="5">
        <v>35</v>
      </c>
      <c r="H231" s="5">
        <f t="shared" si="3"/>
        <v>140</v>
      </c>
    </row>
    <row r="232" customFormat="1" hidden="1" spans="1:8">
      <c r="A232" s="2">
        <v>46154</v>
      </c>
      <c r="B232" s="3">
        <v>1602420</v>
      </c>
      <c r="C232" s="3" t="s">
        <v>153</v>
      </c>
      <c r="D232" s="4">
        <v>20014824</v>
      </c>
      <c r="E232" s="3" t="s">
        <v>85</v>
      </c>
      <c r="F232" s="4">
        <v>1</v>
      </c>
      <c r="G232" s="5">
        <v>16.5</v>
      </c>
      <c r="H232" s="5">
        <f t="shared" si="3"/>
        <v>16.5</v>
      </c>
    </row>
    <row r="233" customFormat="1" hidden="1" spans="1:8">
      <c r="A233" s="2">
        <v>46154</v>
      </c>
      <c r="B233" s="3">
        <v>1602434</v>
      </c>
      <c r="C233" s="3" t="s">
        <v>150</v>
      </c>
      <c r="D233" s="4">
        <v>20312982</v>
      </c>
      <c r="E233" s="3" t="s">
        <v>174</v>
      </c>
      <c r="F233" s="4">
        <v>1</v>
      </c>
      <c r="G233" s="5">
        <v>214.5</v>
      </c>
      <c r="H233" s="5">
        <f t="shared" si="3"/>
        <v>214.5</v>
      </c>
    </row>
    <row r="234" customFormat="1" hidden="1" spans="1:8">
      <c r="A234" s="2">
        <v>46154</v>
      </c>
      <c r="B234" s="3">
        <v>1602434</v>
      </c>
      <c r="C234" s="3" t="s">
        <v>150</v>
      </c>
      <c r="D234" s="4">
        <v>20380117</v>
      </c>
      <c r="E234" s="3" t="s">
        <v>225</v>
      </c>
      <c r="F234" s="4">
        <v>1</v>
      </c>
      <c r="G234" s="5">
        <v>49.5</v>
      </c>
      <c r="H234" s="5">
        <f t="shared" si="3"/>
        <v>49.5</v>
      </c>
    </row>
    <row r="235" customFormat="1" hidden="1" spans="1:8">
      <c r="A235" s="2">
        <v>46154</v>
      </c>
      <c r="B235" s="3">
        <v>1602434</v>
      </c>
      <c r="C235" s="3" t="s">
        <v>150</v>
      </c>
      <c r="D235" s="4">
        <v>20312999</v>
      </c>
      <c r="E235" s="3" t="s">
        <v>226</v>
      </c>
      <c r="F235" s="4">
        <v>1</v>
      </c>
      <c r="G235" s="5">
        <v>44</v>
      </c>
      <c r="H235" s="5">
        <f t="shared" si="3"/>
        <v>44</v>
      </c>
    </row>
    <row r="236" customFormat="1" hidden="1" spans="1:8">
      <c r="A236" s="2">
        <v>46154</v>
      </c>
      <c r="B236" s="3">
        <v>1602434</v>
      </c>
      <c r="C236" s="3" t="s">
        <v>150</v>
      </c>
      <c r="D236" s="4">
        <v>20312966</v>
      </c>
      <c r="E236" s="3" t="s">
        <v>258</v>
      </c>
      <c r="F236" s="4">
        <v>5</v>
      </c>
      <c r="G236" s="5">
        <v>159.5</v>
      </c>
      <c r="H236" s="5">
        <f t="shared" si="3"/>
        <v>797.5</v>
      </c>
    </row>
    <row r="237" customFormat="1" hidden="1" spans="1:8">
      <c r="A237" s="2">
        <v>46154</v>
      </c>
      <c r="B237" s="3">
        <v>1602434</v>
      </c>
      <c r="C237" s="3" t="s">
        <v>150</v>
      </c>
      <c r="D237" s="4">
        <v>20312965</v>
      </c>
      <c r="E237" s="3" t="s">
        <v>112</v>
      </c>
      <c r="F237" s="4">
        <v>3</v>
      </c>
      <c r="G237" s="5">
        <v>137.5</v>
      </c>
      <c r="H237" s="5">
        <f t="shared" si="3"/>
        <v>412.5</v>
      </c>
    </row>
    <row r="238" customFormat="1" hidden="1" spans="1:8">
      <c r="A238" s="2">
        <v>46154</v>
      </c>
      <c r="B238" s="3">
        <v>1602434</v>
      </c>
      <c r="C238" s="3" t="s">
        <v>150</v>
      </c>
      <c r="D238" s="4">
        <v>20312967</v>
      </c>
      <c r="E238" s="3" t="s">
        <v>289</v>
      </c>
      <c r="F238" s="4">
        <v>8</v>
      </c>
      <c r="G238" s="5">
        <v>176</v>
      </c>
      <c r="H238" s="5">
        <f t="shared" si="3"/>
        <v>1408</v>
      </c>
    </row>
    <row r="239" customFormat="1" hidden="1" spans="1:8">
      <c r="A239" s="2">
        <v>46154</v>
      </c>
      <c r="B239" s="3">
        <v>1602434</v>
      </c>
      <c r="C239" s="3" t="s">
        <v>150</v>
      </c>
      <c r="D239" s="4">
        <v>20408959</v>
      </c>
      <c r="E239" s="3" t="s">
        <v>294</v>
      </c>
      <c r="F239" s="4">
        <v>1</v>
      </c>
      <c r="G239" s="5">
        <v>60.5</v>
      </c>
      <c r="H239" s="5">
        <f t="shared" si="3"/>
        <v>60.5</v>
      </c>
    </row>
    <row r="240" customFormat="1" hidden="1" spans="1:8">
      <c r="A240" s="2">
        <v>46154</v>
      </c>
      <c r="B240" s="3">
        <v>1602434</v>
      </c>
      <c r="C240" s="3" t="s">
        <v>151</v>
      </c>
      <c r="D240" s="4">
        <v>20340288</v>
      </c>
      <c r="E240" s="3" t="s">
        <v>282</v>
      </c>
      <c r="F240" s="4">
        <v>1</v>
      </c>
      <c r="G240" s="5">
        <v>22</v>
      </c>
      <c r="H240" s="5">
        <f t="shared" si="3"/>
        <v>22</v>
      </c>
    </row>
    <row r="241" customFormat="1" hidden="1" spans="1:8">
      <c r="A241" s="2">
        <v>46154</v>
      </c>
      <c r="B241" s="3">
        <v>1602434</v>
      </c>
      <c r="C241" s="3" t="s">
        <v>156</v>
      </c>
      <c r="D241" s="4">
        <v>20322235</v>
      </c>
      <c r="E241" s="3" t="s">
        <v>111</v>
      </c>
      <c r="F241" s="4">
        <v>5</v>
      </c>
      <c r="G241" s="5">
        <v>2.5</v>
      </c>
      <c r="H241" s="5">
        <f t="shared" si="3"/>
        <v>12.5</v>
      </c>
    </row>
    <row r="242" customFormat="1" hidden="1" spans="1:8">
      <c r="A242" s="2">
        <v>46154</v>
      </c>
      <c r="B242" s="3">
        <v>1602434</v>
      </c>
      <c r="C242" s="3" t="s">
        <v>156</v>
      </c>
      <c r="D242" s="4">
        <v>20322234</v>
      </c>
      <c r="E242" s="3" t="s">
        <v>274</v>
      </c>
      <c r="F242" s="4">
        <v>9</v>
      </c>
      <c r="G242" s="5">
        <v>2.5</v>
      </c>
      <c r="H242" s="5">
        <f t="shared" si="3"/>
        <v>22.5</v>
      </c>
    </row>
    <row r="243" customFormat="1" hidden="1" spans="1:8">
      <c r="A243" s="2">
        <v>46154</v>
      </c>
      <c r="B243" s="3">
        <v>1602434</v>
      </c>
      <c r="C243" s="3" t="s">
        <v>156</v>
      </c>
      <c r="D243" s="4">
        <v>20402355</v>
      </c>
      <c r="E243" s="3" t="s">
        <v>291</v>
      </c>
      <c r="F243" s="4">
        <v>1</v>
      </c>
      <c r="G243" s="5">
        <v>25</v>
      </c>
      <c r="H243" s="5">
        <f t="shared" si="3"/>
        <v>25</v>
      </c>
    </row>
    <row r="244" customFormat="1" hidden="1" spans="1:8">
      <c r="A244" s="2">
        <v>46154</v>
      </c>
      <c r="B244" s="3">
        <v>1602434</v>
      </c>
      <c r="C244" s="3" t="s">
        <v>153</v>
      </c>
      <c r="D244" s="4">
        <v>20318334</v>
      </c>
      <c r="E244" s="3" t="s">
        <v>186</v>
      </c>
      <c r="F244" s="4">
        <v>2</v>
      </c>
      <c r="G244" s="5">
        <v>16.5</v>
      </c>
      <c r="H244" s="5">
        <f t="shared" si="3"/>
        <v>33</v>
      </c>
    </row>
    <row r="245" customFormat="1" hidden="1" spans="1:8">
      <c r="A245" s="2">
        <v>46154</v>
      </c>
      <c r="B245" s="3">
        <v>1602434</v>
      </c>
      <c r="C245" s="3" t="s">
        <v>153</v>
      </c>
      <c r="D245" s="4">
        <v>20363041</v>
      </c>
      <c r="E245" s="3" t="s">
        <v>187</v>
      </c>
      <c r="F245" s="4">
        <v>1</v>
      </c>
      <c r="G245" s="5">
        <v>16.5</v>
      </c>
      <c r="H245" s="5">
        <f t="shared" si="3"/>
        <v>16.5</v>
      </c>
    </row>
    <row r="246" customFormat="1" hidden="1" spans="1:8">
      <c r="A246" s="2">
        <v>46154</v>
      </c>
      <c r="B246" s="3">
        <v>1602434</v>
      </c>
      <c r="C246" s="3" t="s">
        <v>153</v>
      </c>
      <c r="D246" s="4">
        <v>20318380</v>
      </c>
      <c r="E246" s="3" t="s">
        <v>232</v>
      </c>
      <c r="F246" s="4">
        <v>1</v>
      </c>
      <c r="G246" s="5">
        <v>16.5</v>
      </c>
      <c r="H246" s="5">
        <f t="shared" si="3"/>
        <v>16.5</v>
      </c>
    </row>
    <row r="247" customFormat="1" hidden="1" spans="1:8">
      <c r="A247" s="2">
        <v>46154</v>
      </c>
      <c r="B247" s="3">
        <v>1602434</v>
      </c>
      <c r="C247" s="3" t="s">
        <v>153</v>
      </c>
      <c r="D247" s="4">
        <v>20321250</v>
      </c>
      <c r="E247" s="3" t="s">
        <v>259</v>
      </c>
      <c r="F247" s="4">
        <v>1</v>
      </c>
      <c r="G247" s="5">
        <v>16.5</v>
      </c>
      <c r="H247" s="5">
        <f t="shared" si="3"/>
        <v>16.5</v>
      </c>
    </row>
    <row r="248" customFormat="1" hidden="1" spans="1:8">
      <c r="A248" s="2">
        <v>46154</v>
      </c>
      <c r="B248" s="3">
        <v>1602434</v>
      </c>
      <c r="C248" s="3" t="s">
        <v>153</v>
      </c>
      <c r="D248" s="4">
        <v>20318336</v>
      </c>
      <c r="E248" s="3" t="s">
        <v>303</v>
      </c>
      <c r="F248" s="4">
        <v>5</v>
      </c>
      <c r="G248" s="5">
        <v>16.5</v>
      </c>
      <c r="H248" s="5">
        <f t="shared" si="3"/>
        <v>82.5</v>
      </c>
    </row>
    <row r="249" customFormat="1" hidden="1" spans="1:8">
      <c r="A249" s="2">
        <v>46154</v>
      </c>
      <c r="B249" s="3">
        <v>1602482</v>
      </c>
      <c r="C249" s="3" t="s">
        <v>150</v>
      </c>
      <c r="D249" s="4">
        <v>20312982</v>
      </c>
      <c r="E249" s="3" t="s">
        <v>174</v>
      </c>
      <c r="F249" s="4">
        <v>1</v>
      </c>
      <c r="G249" s="5">
        <v>214.5</v>
      </c>
      <c r="H249" s="5">
        <f t="shared" si="3"/>
        <v>214.5</v>
      </c>
    </row>
    <row r="250" customFormat="1" ht="25.5" hidden="1" spans="1:8">
      <c r="A250" s="2">
        <v>46154</v>
      </c>
      <c r="B250" s="3">
        <v>1602482</v>
      </c>
      <c r="C250" s="3" t="s">
        <v>150</v>
      </c>
      <c r="D250" s="4">
        <v>20416991</v>
      </c>
      <c r="E250" s="3" t="s">
        <v>216</v>
      </c>
      <c r="F250" s="4">
        <v>1</v>
      </c>
      <c r="G250" s="5">
        <v>357.5</v>
      </c>
      <c r="H250" s="5">
        <f t="shared" si="3"/>
        <v>357.5</v>
      </c>
    </row>
    <row r="251" customFormat="1" hidden="1" spans="1:8">
      <c r="A251" s="2">
        <v>46154</v>
      </c>
      <c r="B251" s="3">
        <v>1602482</v>
      </c>
      <c r="C251" s="3" t="s">
        <v>150</v>
      </c>
      <c r="D251" s="4">
        <v>20380117</v>
      </c>
      <c r="E251" s="3" t="s">
        <v>225</v>
      </c>
      <c r="F251" s="4">
        <v>1</v>
      </c>
      <c r="G251" s="5">
        <v>49.5</v>
      </c>
      <c r="H251" s="5">
        <f t="shared" si="3"/>
        <v>49.5</v>
      </c>
    </row>
    <row r="252" customFormat="1" hidden="1" spans="1:8">
      <c r="A252" s="2">
        <v>46154</v>
      </c>
      <c r="B252" s="3">
        <v>1602482</v>
      </c>
      <c r="C252" s="3" t="s">
        <v>150</v>
      </c>
      <c r="D252" s="4">
        <v>20318353</v>
      </c>
      <c r="E252" s="3" t="s">
        <v>235</v>
      </c>
      <c r="F252" s="4">
        <v>1</v>
      </c>
      <c r="G252" s="5">
        <v>66</v>
      </c>
      <c r="H252" s="5">
        <f t="shared" si="3"/>
        <v>66</v>
      </c>
    </row>
    <row r="253" customFormat="1" hidden="1" spans="1:8">
      <c r="A253" s="2">
        <v>46154</v>
      </c>
      <c r="B253" s="3">
        <v>1602482</v>
      </c>
      <c r="C253" s="3" t="s">
        <v>150</v>
      </c>
      <c r="D253" s="4">
        <v>20331447</v>
      </c>
      <c r="E253" s="3" t="s">
        <v>243</v>
      </c>
      <c r="F253" s="4">
        <v>1</v>
      </c>
      <c r="G253" s="5">
        <v>264</v>
      </c>
      <c r="H253" s="5">
        <f t="shared" si="3"/>
        <v>264</v>
      </c>
    </row>
    <row r="254" customFormat="1" hidden="1" spans="1:8">
      <c r="A254" s="2">
        <v>46154</v>
      </c>
      <c r="B254" s="3">
        <v>1602482</v>
      </c>
      <c r="C254" s="3" t="s">
        <v>150</v>
      </c>
      <c r="D254" s="4">
        <v>20312966</v>
      </c>
      <c r="E254" s="3" t="s">
        <v>258</v>
      </c>
      <c r="F254" s="4">
        <v>7</v>
      </c>
      <c r="G254" s="5">
        <v>159.5</v>
      </c>
      <c r="H254" s="5">
        <f t="shared" si="3"/>
        <v>1116.5</v>
      </c>
    </row>
    <row r="255" customFormat="1" hidden="1" spans="1:8">
      <c r="A255" s="2">
        <v>46154</v>
      </c>
      <c r="B255" s="3">
        <v>1602482</v>
      </c>
      <c r="C255" s="3" t="s">
        <v>150</v>
      </c>
      <c r="D255" s="4">
        <v>20327194</v>
      </c>
      <c r="E255" s="3" t="s">
        <v>265</v>
      </c>
      <c r="F255" s="4">
        <v>1</v>
      </c>
      <c r="G255" s="5">
        <v>27.5</v>
      </c>
      <c r="H255" s="5">
        <f t="shared" si="3"/>
        <v>27.5</v>
      </c>
    </row>
    <row r="256" customFormat="1" hidden="1" spans="1:8">
      <c r="A256" s="2">
        <v>46154</v>
      </c>
      <c r="B256" s="3">
        <v>1602482</v>
      </c>
      <c r="C256" s="3" t="s">
        <v>150</v>
      </c>
      <c r="D256" s="4">
        <v>20312965</v>
      </c>
      <c r="E256" s="3" t="s">
        <v>112</v>
      </c>
      <c r="F256" s="4">
        <v>3</v>
      </c>
      <c r="G256" s="5">
        <v>137.5</v>
      </c>
      <c r="H256" s="5">
        <f t="shared" si="3"/>
        <v>412.5</v>
      </c>
    </row>
    <row r="257" customFormat="1" hidden="1" spans="1:8">
      <c r="A257" s="2">
        <v>46154</v>
      </c>
      <c r="B257" s="3">
        <v>1602482</v>
      </c>
      <c r="C257" s="3" t="s">
        <v>150</v>
      </c>
      <c r="D257" s="4">
        <v>20312967</v>
      </c>
      <c r="E257" s="3" t="s">
        <v>289</v>
      </c>
      <c r="F257" s="4">
        <v>5</v>
      </c>
      <c r="G257" s="5">
        <v>176</v>
      </c>
      <c r="H257" s="5">
        <f t="shared" si="3"/>
        <v>880</v>
      </c>
    </row>
    <row r="258" customFormat="1" hidden="1" spans="1:8">
      <c r="A258" s="2">
        <v>46154</v>
      </c>
      <c r="B258" s="3">
        <v>1602482</v>
      </c>
      <c r="C258" s="3" t="s">
        <v>150</v>
      </c>
      <c r="D258" s="4">
        <v>20321251</v>
      </c>
      <c r="E258" s="3" t="s">
        <v>311</v>
      </c>
      <c r="F258" s="4">
        <v>1</v>
      </c>
      <c r="G258" s="5">
        <v>187</v>
      </c>
      <c r="H258" s="5">
        <f t="shared" ref="H258:H321" si="4">G258*F258</f>
        <v>187</v>
      </c>
    </row>
    <row r="259" customFormat="1" hidden="1" spans="1:8">
      <c r="A259" s="2">
        <v>46154</v>
      </c>
      <c r="B259" s="3">
        <v>1602482</v>
      </c>
      <c r="C259" s="3" t="s">
        <v>151</v>
      </c>
      <c r="D259" s="4">
        <v>20318363</v>
      </c>
      <c r="E259" s="3" t="s">
        <v>94</v>
      </c>
      <c r="F259" s="4">
        <v>1</v>
      </c>
      <c r="G259" s="5">
        <v>8</v>
      </c>
      <c r="H259" s="5">
        <f t="shared" si="4"/>
        <v>8</v>
      </c>
    </row>
    <row r="260" customFormat="1" hidden="1" spans="1:8">
      <c r="A260" s="2">
        <v>46154</v>
      </c>
      <c r="B260" s="3">
        <v>1602482</v>
      </c>
      <c r="C260" s="3" t="s">
        <v>151</v>
      </c>
      <c r="D260" s="4">
        <v>20340288</v>
      </c>
      <c r="E260" s="3" t="s">
        <v>282</v>
      </c>
      <c r="F260" s="4">
        <v>1</v>
      </c>
      <c r="G260" s="5">
        <v>22</v>
      </c>
      <c r="H260" s="5">
        <f t="shared" si="4"/>
        <v>22</v>
      </c>
    </row>
    <row r="261" customFormat="1" hidden="1" spans="1:8">
      <c r="A261" s="2">
        <v>46154</v>
      </c>
      <c r="B261" s="3">
        <v>1602482</v>
      </c>
      <c r="C261" s="3" t="s">
        <v>156</v>
      </c>
      <c r="D261" s="4">
        <v>20330757</v>
      </c>
      <c r="E261" s="3" t="s">
        <v>288</v>
      </c>
      <c r="F261" s="4">
        <v>1</v>
      </c>
      <c r="G261" s="5">
        <v>35</v>
      </c>
      <c r="H261" s="5">
        <f t="shared" si="4"/>
        <v>35</v>
      </c>
    </row>
    <row r="262" customFormat="1" hidden="1" spans="1:8">
      <c r="A262" s="2">
        <v>46154</v>
      </c>
      <c r="B262" s="3">
        <v>1602482</v>
      </c>
      <c r="C262" s="3" t="s">
        <v>152</v>
      </c>
      <c r="D262" s="4">
        <v>20408950</v>
      </c>
      <c r="E262" s="3" t="s">
        <v>295</v>
      </c>
      <c r="F262" s="4">
        <v>1</v>
      </c>
      <c r="G262" s="5">
        <v>60.5</v>
      </c>
      <c r="H262" s="5">
        <f t="shared" si="4"/>
        <v>60.5</v>
      </c>
    </row>
    <row r="263" customFormat="1" hidden="1" spans="1:8">
      <c r="A263" s="2">
        <v>46154</v>
      </c>
      <c r="B263" s="3">
        <v>1602482</v>
      </c>
      <c r="C263" s="3" t="s">
        <v>153</v>
      </c>
      <c r="D263" s="4">
        <v>20321257</v>
      </c>
      <c r="E263" s="3" t="s">
        <v>68</v>
      </c>
      <c r="F263" s="4">
        <v>5</v>
      </c>
      <c r="G263" s="5">
        <v>16.5</v>
      </c>
      <c r="H263" s="5">
        <f t="shared" si="4"/>
        <v>82.5</v>
      </c>
    </row>
    <row r="264" customFormat="1" hidden="1" spans="1:8">
      <c r="A264" s="2">
        <v>46154</v>
      </c>
      <c r="B264" s="3">
        <v>1602482</v>
      </c>
      <c r="C264" s="3" t="s">
        <v>153</v>
      </c>
      <c r="D264" s="4">
        <v>20363041</v>
      </c>
      <c r="E264" s="3" t="s">
        <v>187</v>
      </c>
      <c r="F264" s="4">
        <v>1</v>
      </c>
      <c r="G264" s="5">
        <v>16.5</v>
      </c>
      <c r="H264" s="5">
        <f t="shared" si="4"/>
        <v>16.5</v>
      </c>
    </row>
    <row r="265" customFormat="1" hidden="1" spans="1:8">
      <c r="A265" s="2">
        <v>46154</v>
      </c>
      <c r="B265" s="3">
        <v>1602482</v>
      </c>
      <c r="C265" s="3" t="s">
        <v>153</v>
      </c>
      <c r="D265" s="4">
        <v>20335601</v>
      </c>
      <c r="E265" s="3" t="s">
        <v>200</v>
      </c>
      <c r="F265" s="4">
        <v>1</v>
      </c>
      <c r="G265" s="5">
        <v>16.5</v>
      </c>
      <c r="H265" s="5">
        <f t="shared" si="4"/>
        <v>16.5</v>
      </c>
    </row>
    <row r="266" customFormat="1" hidden="1" spans="1:8">
      <c r="A266" s="2">
        <v>46154</v>
      </c>
      <c r="B266" s="3">
        <v>1602482</v>
      </c>
      <c r="C266" s="3" t="s">
        <v>153</v>
      </c>
      <c r="D266" s="4">
        <v>20014824</v>
      </c>
      <c r="E266" s="3" t="s">
        <v>85</v>
      </c>
      <c r="F266" s="4">
        <v>1</v>
      </c>
      <c r="G266" s="5">
        <v>16.5</v>
      </c>
      <c r="H266" s="5">
        <f t="shared" si="4"/>
        <v>16.5</v>
      </c>
    </row>
    <row r="267" customFormat="1" hidden="1" spans="1:8">
      <c r="A267" s="2">
        <v>46154</v>
      </c>
      <c r="B267" s="3">
        <v>1602482</v>
      </c>
      <c r="C267" s="3" t="s">
        <v>153</v>
      </c>
      <c r="D267" s="4">
        <v>20343399</v>
      </c>
      <c r="E267" s="3" t="s">
        <v>228</v>
      </c>
      <c r="F267" s="4">
        <v>2</v>
      </c>
      <c r="G267" s="5">
        <v>33</v>
      </c>
      <c r="H267" s="5">
        <f t="shared" si="4"/>
        <v>66</v>
      </c>
    </row>
    <row r="268" customFormat="1" hidden="1" spans="1:8">
      <c r="A268" s="2">
        <v>46154</v>
      </c>
      <c r="B268" s="3">
        <v>1602482</v>
      </c>
      <c r="C268" s="3" t="s">
        <v>153</v>
      </c>
      <c r="D268" s="4">
        <v>20318378</v>
      </c>
      <c r="E268" s="3" t="s">
        <v>231</v>
      </c>
      <c r="F268" s="4">
        <v>3</v>
      </c>
      <c r="G268" s="5">
        <v>16.5</v>
      </c>
      <c r="H268" s="5">
        <f t="shared" si="4"/>
        <v>49.5</v>
      </c>
    </row>
    <row r="269" customFormat="1" hidden="1" spans="1:8">
      <c r="A269" s="2">
        <v>46154</v>
      </c>
      <c r="B269" s="3">
        <v>1602482</v>
      </c>
      <c r="C269" s="3" t="s">
        <v>153</v>
      </c>
      <c r="D269" s="4">
        <v>20318380</v>
      </c>
      <c r="E269" s="3" t="s">
        <v>232</v>
      </c>
      <c r="F269" s="4">
        <v>2</v>
      </c>
      <c r="G269" s="5">
        <v>16.5</v>
      </c>
      <c r="H269" s="5">
        <f t="shared" si="4"/>
        <v>33</v>
      </c>
    </row>
    <row r="270" customFormat="1" hidden="1" spans="1:8">
      <c r="A270" s="2">
        <v>46154</v>
      </c>
      <c r="B270" s="3">
        <v>1602482</v>
      </c>
      <c r="C270" s="3" t="s">
        <v>153</v>
      </c>
      <c r="D270" s="4">
        <v>20321250</v>
      </c>
      <c r="E270" s="3" t="s">
        <v>259</v>
      </c>
      <c r="F270" s="4">
        <v>4</v>
      </c>
      <c r="G270" s="5">
        <v>16.5</v>
      </c>
      <c r="H270" s="5">
        <f t="shared" si="4"/>
        <v>66</v>
      </c>
    </row>
    <row r="271" customFormat="1" hidden="1" spans="1:8">
      <c r="A271" s="2">
        <v>46154</v>
      </c>
      <c r="B271" s="3">
        <v>1602482</v>
      </c>
      <c r="C271" s="3" t="s">
        <v>153</v>
      </c>
      <c r="D271" s="4">
        <v>20340289</v>
      </c>
      <c r="E271" s="3" t="s">
        <v>272</v>
      </c>
      <c r="F271" s="4">
        <v>5</v>
      </c>
      <c r="G271" s="5">
        <v>16.5</v>
      </c>
      <c r="H271" s="5">
        <f t="shared" si="4"/>
        <v>82.5</v>
      </c>
    </row>
    <row r="272" customFormat="1" hidden="1" spans="1:8">
      <c r="A272" s="2">
        <v>46154</v>
      </c>
      <c r="B272" s="3">
        <v>1602482</v>
      </c>
      <c r="C272" s="3" t="s">
        <v>153</v>
      </c>
      <c r="D272" s="4">
        <v>20318336</v>
      </c>
      <c r="E272" s="3" t="s">
        <v>303</v>
      </c>
      <c r="F272" s="4">
        <v>1</v>
      </c>
      <c r="G272" s="5">
        <v>16.5</v>
      </c>
      <c r="H272" s="5">
        <f t="shared" si="4"/>
        <v>16.5</v>
      </c>
    </row>
    <row r="273" customFormat="1" hidden="1" spans="1:8">
      <c r="A273" s="2">
        <v>46154</v>
      </c>
      <c r="B273" s="3">
        <v>1602482</v>
      </c>
      <c r="C273" s="3" t="s">
        <v>153</v>
      </c>
      <c r="D273" s="4">
        <v>20318342</v>
      </c>
      <c r="E273" s="3" t="s">
        <v>304</v>
      </c>
      <c r="F273" s="4">
        <v>3</v>
      </c>
      <c r="G273" s="5">
        <v>16.5</v>
      </c>
      <c r="H273" s="5">
        <f t="shared" si="4"/>
        <v>49.5</v>
      </c>
    </row>
    <row r="274" customFormat="1" hidden="1" spans="1:8">
      <c r="A274" s="2">
        <v>46155</v>
      </c>
      <c r="B274" s="3">
        <v>1602643</v>
      </c>
      <c r="C274" s="3" t="s">
        <v>150</v>
      </c>
      <c r="D274" s="4">
        <v>20312966</v>
      </c>
      <c r="E274" s="3" t="s">
        <v>258</v>
      </c>
      <c r="F274" s="4">
        <v>3</v>
      </c>
      <c r="G274" s="5">
        <v>159.5</v>
      </c>
      <c r="H274" s="5">
        <f t="shared" si="4"/>
        <v>478.5</v>
      </c>
    </row>
    <row r="275" customFormat="1" hidden="1" spans="1:8">
      <c r="A275" s="2">
        <v>46155</v>
      </c>
      <c r="B275" s="3">
        <v>1602643</v>
      </c>
      <c r="C275" s="3" t="s">
        <v>150</v>
      </c>
      <c r="D275" s="4">
        <v>20312965</v>
      </c>
      <c r="E275" s="3" t="s">
        <v>112</v>
      </c>
      <c r="F275" s="4">
        <v>1</v>
      </c>
      <c r="G275" s="5">
        <v>137.5</v>
      </c>
      <c r="H275" s="5">
        <f t="shared" si="4"/>
        <v>137.5</v>
      </c>
    </row>
    <row r="276" customFormat="1" hidden="1" spans="1:8">
      <c r="A276" s="2">
        <v>46155</v>
      </c>
      <c r="B276" s="3">
        <v>1602643</v>
      </c>
      <c r="C276" s="3" t="s">
        <v>150</v>
      </c>
      <c r="D276" s="4">
        <v>20312967</v>
      </c>
      <c r="E276" s="3" t="s">
        <v>289</v>
      </c>
      <c r="F276" s="4">
        <v>5</v>
      </c>
      <c r="G276" s="5">
        <v>176</v>
      </c>
      <c r="H276" s="5">
        <f t="shared" si="4"/>
        <v>880</v>
      </c>
    </row>
    <row r="277" customFormat="1" hidden="1" spans="1:8">
      <c r="A277" s="2">
        <v>46155</v>
      </c>
      <c r="B277" s="3">
        <v>1602643</v>
      </c>
      <c r="C277" s="3" t="s">
        <v>156</v>
      </c>
      <c r="D277" s="4">
        <v>20322243</v>
      </c>
      <c r="E277" s="3" t="s">
        <v>117</v>
      </c>
      <c r="F277" s="4">
        <v>1</v>
      </c>
      <c r="G277" s="5">
        <v>30</v>
      </c>
      <c r="H277" s="5">
        <f t="shared" si="4"/>
        <v>30</v>
      </c>
    </row>
    <row r="278" customFormat="1" hidden="1" spans="1:8">
      <c r="A278" s="2">
        <v>46155</v>
      </c>
      <c r="B278" s="3">
        <v>1602643</v>
      </c>
      <c r="C278" s="3" t="s">
        <v>156</v>
      </c>
      <c r="D278" s="4">
        <v>20322304</v>
      </c>
      <c r="E278" s="3" t="s">
        <v>275</v>
      </c>
      <c r="F278" s="4">
        <v>6</v>
      </c>
      <c r="G278" s="5">
        <v>25</v>
      </c>
      <c r="H278" s="5">
        <f t="shared" si="4"/>
        <v>150</v>
      </c>
    </row>
    <row r="279" customFormat="1" hidden="1" spans="1:8">
      <c r="A279" s="2">
        <v>46155</v>
      </c>
      <c r="B279" s="3">
        <v>1602643</v>
      </c>
      <c r="C279" s="3" t="s">
        <v>156</v>
      </c>
      <c r="D279" s="4">
        <v>20330757</v>
      </c>
      <c r="E279" s="3" t="s">
        <v>288</v>
      </c>
      <c r="F279" s="4">
        <v>5</v>
      </c>
      <c r="G279" s="5">
        <v>35</v>
      </c>
      <c r="H279" s="5">
        <f t="shared" si="4"/>
        <v>175</v>
      </c>
    </row>
    <row r="280" customFormat="1" hidden="1" spans="1:8">
      <c r="A280" s="2">
        <v>46155</v>
      </c>
      <c r="B280" s="3">
        <v>1602643</v>
      </c>
      <c r="C280" s="3" t="s">
        <v>156</v>
      </c>
      <c r="D280" s="4">
        <v>20402355</v>
      </c>
      <c r="E280" s="3" t="s">
        <v>291</v>
      </c>
      <c r="F280" s="4">
        <v>1</v>
      </c>
      <c r="G280" s="5">
        <v>25</v>
      </c>
      <c r="H280" s="5">
        <f t="shared" si="4"/>
        <v>25</v>
      </c>
    </row>
    <row r="281" customFormat="1" hidden="1" spans="1:8">
      <c r="A281" s="2">
        <v>46155</v>
      </c>
      <c r="B281" s="3">
        <v>1602643</v>
      </c>
      <c r="C281" s="3" t="s">
        <v>153</v>
      </c>
      <c r="D281" s="4">
        <v>20321257</v>
      </c>
      <c r="E281" s="3" t="s">
        <v>68</v>
      </c>
      <c r="F281" s="4">
        <v>4</v>
      </c>
      <c r="G281" s="5">
        <v>16.5</v>
      </c>
      <c r="H281" s="5">
        <f t="shared" si="4"/>
        <v>66</v>
      </c>
    </row>
    <row r="282" customFormat="1" hidden="1" spans="1:8">
      <c r="A282" s="2">
        <v>46155</v>
      </c>
      <c r="B282" s="3">
        <v>1602648</v>
      </c>
      <c r="C282" s="3" t="s">
        <v>150</v>
      </c>
      <c r="D282" s="4">
        <v>20312966</v>
      </c>
      <c r="E282" s="3" t="s">
        <v>258</v>
      </c>
      <c r="F282" s="4">
        <v>2</v>
      </c>
      <c r="G282" s="5">
        <v>159.5</v>
      </c>
      <c r="H282" s="5">
        <f t="shared" si="4"/>
        <v>319</v>
      </c>
    </row>
    <row r="283" customFormat="1" hidden="1" spans="1:8">
      <c r="A283" s="2">
        <v>46155</v>
      </c>
      <c r="B283" s="3">
        <v>1602648</v>
      </c>
      <c r="C283" s="3" t="s">
        <v>150</v>
      </c>
      <c r="D283" s="4">
        <v>20312965</v>
      </c>
      <c r="E283" s="3" t="s">
        <v>112</v>
      </c>
      <c r="F283" s="4">
        <v>4</v>
      </c>
      <c r="G283" s="5">
        <v>137.5</v>
      </c>
      <c r="H283" s="5">
        <f t="shared" si="4"/>
        <v>550</v>
      </c>
    </row>
    <row r="284" customFormat="1" hidden="1" spans="1:8">
      <c r="A284" s="2">
        <v>46155</v>
      </c>
      <c r="B284" s="3">
        <v>1602648</v>
      </c>
      <c r="C284" s="3" t="s">
        <v>150</v>
      </c>
      <c r="D284" s="4">
        <v>20312968</v>
      </c>
      <c r="E284" s="3" t="s">
        <v>276</v>
      </c>
      <c r="F284" s="4">
        <v>1</v>
      </c>
      <c r="G284" s="5">
        <v>187</v>
      </c>
      <c r="H284" s="5">
        <f t="shared" si="4"/>
        <v>187</v>
      </c>
    </row>
    <row r="285" customFormat="1" hidden="1" spans="1:8">
      <c r="A285" s="2">
        <v>46155</v>
      </c>
      <c r="B285" s="3">
        <v>1602648</v>
      </c>
      <c r="C285" s="3" t="s">
        <v>150</v>
      </c>
      <c r="D285" s="4">
        <v>20312967</v>
      </c>
      <c r="E285" s="3" t="s">
        <v>289</v>
      </c>
      <c r="F285" s="4">
        <v>1</v>
      </c>
      <c r="G285" s="5">
        <v>176</v>
      </c>
      <c r="H285" s="5">
        <f t="shared" si="4"/>
        <v>176</v>
      </c>
    </row>
    <row r="286" customFormat="1" hidden="1" spans="1:8">
      <c r="A286" s="2">
        <v>46155</v>
      </c>
      <c r="B286" s="3">
        <v>1602648</v>
      </c>
      <c r="C286" s="3" t="s">
        <v>150</v>
      </c>
      <c r="D286" s="4">
        <v>20424417</v>
      </c>
      <c r="E286" s="3" t="s">
        <v>312</v>
      </c>
      <c r="F286" s="4">
        <v>1</v>
      </c>
      <c r="G286" s="5">
        <v>66</v>
      </c>
      <c r="H286" s="5">
        <f t="shared" si="4"/>
        <v>66</v>
      </c>
    </row>
    <row r="287" customFormat="1" hidden="1" spans="1:8">
      <c r="A287" s="2">
        <v>46155</v>
      </c>
      <c r="B287" s="3">
        <v>1602648</v>
      </c>
      <c r="C287" s="3" t="s">
        <v>153</v>
      </c>
      <c r="D287" s="4">
        <v>20321257</v>
      </c>
      <c r="E287" s="3" t="s">
        <v>68</v>
      </c>
      <c r="F287" s="4">
        <v>6</v>
      </c>
      <c r="G287" s="5">
        <v>16.5</v>
      </c>
      <c r="H287" s="5">
        <f t="shared" si="4"/>
        <v>99</v>
      </c>
    </row>
    <row r="288" customFormat="1" hidden="1" spans="1:8">
      <c r="A288" s="2">
        <v>46155</v>
      </c>
      <c r="B288" s="3">
        <v>1602648</v>
      </c>
      <c r="C288" s="3" t="s">
        <v>153</v>
      </c>
      <c r="D288" s="4">
        <v>20321250</v>
      </c>
      <c r="E288" s="3" t="s">
        <v>259</v>
      </c>
      <c r="F288" s="4">
        <v>1</v>
      </c>
      <c r="G288" s="5">
        <v>16.5</v>
      </c>
      <c r="H288" s="5">
        <f t="shared" si="4"/>
        <v>16.5</v>
      </c>
    </row>
    <row r="289" customFormat="1" hidden="1" spans="1:8">
      <c r="A289" s="2">
        <v>46155</v>
      </c>
      <c r="B289" s="3">
        <v>1602648</v>
      </c>
      <c r="C289" s="3" t="s">
        <v>153</v>
      </c>
      <c r="D289" s="4">
        <v>20318368</v>
      </c>
      <c r="E289" s="3" t="s">
        <v>305</v>
      </c>
      <c r="F289" s="4">
        <v>1</v>
      </c>
      <c r="G289" s="5">
        <v>33</v>
      </c>
      <c r="H289" s="5">
        <f t="shared" si="4"/>
        <v>33</v>
      </c>
    </row>
    <row r="290" customFormat="1" hidden="1" spans="1:8">
      <c r="A290" s="2">
        <v>46155</v>
      </c>
      <c r="B290" s="3">
        <v>1602711</v>
      </c>
      <c r="C290" s="3" t="s">
        <v>153</v>
      </c>
      <c r="D290" s="4">
        <v>20318334</v>
      </c>
      <c r="E290" s="3" t="s">
        <v>186</v>
      </c>
      <c r="F290" s="4">
        <v>1</v>
      </c>
      <c r="G290" s="5">
        <v>16.5</v>
      </c>
      <c r="H290" s="5">
        <f t="shared" si="4"/>
        <v>16.5</v>
      </c>
    </row>
    <row r="291" customFormat="1" hidden="1" spans="1:8">
      <c r="A291" s="2">
        <v>46155</v>
      </c>
      <c r="B291" s="3">
        <v>1602733</v>
      </c>
      <c r="C291" s="3" t="s">
        <v>150</v>
      </c>
      <c r="D291" s="4">
        <v>20424417</v>
      </c>
      <c r="E291" s="3" t="s">
        <v>312</v>
      </c>
      <c r="F291" s="4">
        <v>1</v>
      </c>
      <c r="G291" s="5">
        <v>66</v>
      </c>
      <c r="H291" s="5">
        <f t="shared" si="4"/>
        <v>66</v>
      </c>
    </row>
    <row r="292" customFormat="1" hidden="1" spans="1:8">
      <c r="A292" s="2">
        <v>46155</v>
      </c>
      <c r="B292" s="3">
        <v>1602733</v>
      </c>
      <c r="C292" s="3" t="s">
        <v>151</v>
      </c>
      <c r="D292" s="4">
        <v>20318363</v>
      </c>
      <c r="E292" s="3" t="s">
        <v>94</v>
      </c>
      <c r="F292" s="4">
        <v>1</v>
      </c>
      <c r="G292" s="5">
        <v>8</v>
      </c>
      <c r="H292" s="5">
        <f t="shared" si="4"/>
        <v>8</v>
      </c>
    </row>
    <row r="293" customFormat="1" hidden="1" spans="1:8">
      <c r="A293" s="2">
        <v>46155</v>
      </c>
      <c r="B293" s="3">
        <v>1602733</v>
      </c>
      <c r="C293" s="3" t="s">
        <v>151</v>
      </c>
      <c r="D293" s="4">
        <v>20340288</v>
      </c>
      <c r="E293" s="3" t="s">
        <v>282</v>
      </c>
      <c r="F293" s="4">
        <v>1</v>
      </c>
      <c r="G293" s="5">
        <v>22</v>
      </c>
      <c r="H293" s="5">
        <f t="shared" si="4"/>
        <v>22</v>
      </c>
    </row>
    <row r="294" customFormat="1" hidden="1" spans="1:8">
      <c r="A294" s="2">
        <v>46155</v>
      </c>
      <c r="B294" s="3">
        <v>1602733</v>
      </c>
      <c r="C294" s="3" t="s">
        <v>152</v>
      </c>
      <c r="D294" s="4">
        <v>20340286</v>
      </c>
      <c r="E294" s="3" t="s">
        <v>169</v>
      </c>
      <c r="F294" s="4">
        <v>1</v>
      </c>
      <c r="G294" s="5">
        <v>55</v>
      </c>
      <c r="H294" s="5">
        <f t="shared" si="4"/>
        <v>55</v>
      </c>
    </row>
    <row r="295" customFormat="1" hidden="1" spans="1:8">
      <c r="A295" s="2">
        <v>46155</v>
      </c>
      <c r="B295" s="3">
        <v>1602733</v>
      </c>
      <c r="C295" s="3" t="s">
        <v>153</v>
      </c>
      <c r="D295" s="4">
        <v>20318380</v>
      </c>
      <c r="E295" s="3" t="s">
        <v>232</v>
      </c>
      <c r="F295" s="4">
        <v>1</v>
      </c>
      <c r="G295" s="5">
        <v>16.5</v>
      </c>
      <c r="H295" s="5">
        <f t="shared" si="4"/>
        <v>16.5</v>
      </c>
    </row>
    <row r="296" customFormat="1" hidden="1" spans="1:8">
      <c r="A296" s="2">
        <v>46155</v>
      </c>
      <c r="B296" s="3">
        <v>1602733</v>
      </c>
      <c r="C296" s="3" t="s">
        <v>153</v>
      </c>
      <c r="D296" s="4">
        <v>20383164</v>
      </c>
      <c r="E296" s="3" t="s">
        <v>273</v>
      </c>
      <c r="F296" s="4">
        <v>1</v>
      </c>
      <c r="G296" s="5">
        <v>22</v>
      </c>
      <c r="H296" s="5">
        <f t="shared" si="4"/>
        <v>22</v>
      </c>
    </row>
    <row r="297" customFormat="1" hidden="1" spans="1:8">
      <c r="A297" s="2">
        <v>46155</v>
      </c>
      <c r="B297" s="3">
        <v>1602733</v>
      </c>
      <c r="C297" s="3" t="s">
        <v>153</v>
      </c>
      <c r="D297" s="4">
        <v>20318336</v>
      </c>
      <c r="E297" s="3" t="s">
        <v>303</v>
      </c>
      <c r="F297" s="4">
        <v>2</v>
      </c>
      <c r="G297" s="5">
        <v>16.5</v>
      </c>
      <c r="H297" s="5">
        <f t="shared" si="4"/>
        <v>33</v>
      </c>
    </row>
    <row r="298" customFormat="1" hidden="1" spans="1:8">
      <c r="A298" s="2">
        <v>46155</v>
      </c>
      <c r="B298" s="3">
        <v>1602741</v>
      </c>
      <c r="C298" s="3" t="s">
        <v>150</v>
      </c>
      <c r="D298" s="4">
        <v>20312966</v>
      </c>
      <c r="E298" s="3" t="s">
        <v>258</v>
      </c>
      <c r="F298" s="4">
        <v>4</v>
      </c>
      <c r="G298" s="5">
        <v>159.5</v>
      </c>
      <c r="H298" s="5">
        <f t="shared" si="4"/>
        <v>638</v>
      </c>
    </row>
    <row r="299" customFormat="1" hidden="1" spans="1:8">
      <c r="A299" s="2">
        <v>46155</v>
      </c>
      <c r="B299" s="3">
        <v>1602741</v>
      </c>
      <c r="C299" s="3" t="s">
        <v>150</v>
      </c>
      <c r="D299" s="4">
        <v>20312965</v>
      </c>
      <c r="E299" s="3" t="s">
        <v>112</v>
      </c>
      <c r="F299" s="4">
        <v>3</v>
      </c>
      <c r="G299" s="5">
        <v>137.5</v>
      </c>
      <c r="H299" s="5">
        <f t="shared" si="4"/>
        <v>412.5</v>
      </c>
    </row>
    <row r="300" customFormat="1" hidden="1" spans="1:8">
      <c r="A300" s="2">
        <v>46155</v>
      </c>
      <c r="B300" s="3">
        <v>1602741</v>
      </c>
      <c r="C300" s="3" t="s">
        <v>150</v>
      </c>
      <c r="D300" s="4">
        <v>20312967</v>
      </c>
      <c r="E300" s="3" t="s">
        <v>289</v>
      </c>
      <c r="F300" s="4">
        <v>3</v>
      </c>
      <c r="G300" s="5">
        <v>176</v>
      </c>
      <c r="H300" s="5">
        <f t="shared" si="4"/>
        <v>528</v>
      </c>
    </row>
    <row r="301" customFormat="1" hidden="1" spans="1:8">
      <c r="A301" s="2">
        <v>46155</v>
      </c>
      <c r="B301" s="3">
        <v>1602741</v>
      </c>
      <c r="C301" s="3" t="s">
        <v>153</v>
      </c>
      <c r="D301" s="4">
        <v>20321257</v>
      </c>
      <c r="E301" s="3" t="s">
        <v>68</v>
      </c>
      <c r="F301" s="4">
        <v>1</v>
      </c>
      <c r="G301" s="5">
        <v>16.5</v>
      </c>
      <c r="H301" s="5">
        <f t="shared" si="4"/>
        <v>16.5</v>
      </c>
    </row>
    <row r="302" customFormat="1" hidden="1" spans="1:8">
      <c r="A302" s="2">
        <v>46155</v>
      </c>
      <c r="B302" s="3">
        <v>1602741</v>
      </c>
      <c r="C302" s="3" t="s">
        <v>153</v>
      </c>
      <c r="D302" s="4">
        <v>20014824</v>
      </c>
      <c r="E302" s="3" t="s">
        <v>85</v>
      </c>
      <c r="F302" s="4">
        <v>1</v>
      </c>
      <c r="G302" s="5">
        <v>16.5</v>
      </c>
      <c r="H302" s="5">
        <f t="shared" si="4"/>
        <v>16.5</v>
      </c>
    </row>
    <row r="303" customFormat="1" hidden="1" spans="1:8">
      <c r="A303" s="2">
        <v>46155</v>
      </c>
      <c r="B303" s="3">
        <v>1602751</v>
      </c>
      <c r="C303" s="3" t="s">
        <v>150</v>
      </c>
      <c r="D303" s="4">
        <v>20312966</v>
      </c>
      <c r="E303" s="3" t="s">
        <v>258</v>
      </c>
      <c r="F303" s="4">
        <v>3</v>
      </c>
      <c r="G303" s="5">
        <v>159.5</v>
      </c>
      <c r="H303" s="5">
        <f t="shared" si="4"/>
        <v>478.5</v>
      </c>
    </row>
    <row r="304" customFormat="1" hidden="1" spans="1:8">
      <c r="A304" s="2">
        <v>46155</v>
      </c>
      <c r="B304" s="3">
        <v>1602751</v>
      </c>
      <c r="C304" s="3" t="s">
        <v>150</v>
      </c>
      <c r="D304" s="4">
        <v>20312965</v>
      </c>
      <c r="E304" s="3" t="s">
        <v>112</v>
      </c>
      <c r="F304" s="4">
        <v>3</v>
      </c>
      <c r="G304" s="5">
        <v>137.5</v>
      </c>
      <c r="H304" s="5">
        <f t="shared" si="4"/>
        <v>412.5</v>
      </c>
    </row>
    <row r="305" customFormat="1" hidden="1" spans="1:8">
      <c r="A305" s="2">
        <v>46155</v>
      </c>
      <c r="B305" s="3">
        <v>1602751</v>
      </c>
      <c r="C305" s="3" t="s">
        <v>150</v>
      </c>
      <c r="D305" s="4">
        <v>20312967</v>
      </c>
      <c r="E305" s="3" t="s">
        <v>289</v>
      </c>
      <c r="F305" s="4">
        <v>6</v>
      </c>
      <c r="G305" s="5">
        <v>176</v>
      </c>
      <c r="H305" s="5">
        <f t="shared" si="4"/>
        <v>1056</v>
      </c>
    </row>
    <row r="306" customFormat="1" hidden="1" spans="1:8">
      <c r="A306" s="2">
        <v>46155</v>
      </c>
      <c r="B306" s="3">
        <v>1602751</v>
      </c>
      <c r="C306" s="3" t="s">
        <v>153</v>
      </c>
      <c r="D306" s="4">
        <v>20321257</v>
      </c>
      <c r="E306" s="3" t="s">
        <v>68</v>
      </c>
      <c r="F306" s="4">
        <v>1</v>
      </c>
      <c r="G306" s="5">
        <v>16.5</v>
      </c>
      <c r="H306" s="5">
        <f t="shared" si="4"/>
        <v>16.5</v>
      </c>
    </row>
    <row r="307" customFormat="1" hidden="1" spans="1:8">
      <c r="A307" s="2">
        <v>46155</v>
      </c>
      <c r="B307" s="3">
        <v>1602757</v>
      </c>
      <c r="C307" s="3" t="s">
        <v>156</v>
      </c>
      <c r="D307" s="4">
        <v>20322235</v>
      </c>
      <c r="E307" s="3" t="s">
        <v>111</v>
      </c>
      <c r="F307" s="4">
        <v>5</v>
      </c>
      <c r="G307" s="5">
        <v>2.5</v>
      </c>
      <c r="H307" s="5">
        <f t="shared" si="4"/>
        <v>12.5</v>
      </c>
    </row>
    <row r="308" customFormat="1" hidden="1" spans="1:8">
      <c r="A308" s="2">
        <v>46155</v>
      </c>
      <c r="B308" s="3">
        <v>1602757</v>
      </c>
      <c r="C308" s="3" t="s">
        <v>156</v>
      </c>
      <c r="D308" s="4">
        <v>20322243</v>
      </c>
      <c r="E308" s="3" t="s">
        <v>117</v>
      </c>
      <c r="F308" s="4">
        <v>1</v>
      </c>
      <c r="G308" s="5">
        <v>30</v>
      </c>
      <c r="H308" s="5">
        <f t="shared" si="4"/>
        <v>30</v>
      </c>
    </row>
    <row r="309" customFormat="1" hidden="1" spans="1:8">
      <c r="A309" s="2">
        <v>46155</v>
      </c>
      <c r="B309" s="3">
        <v>1602757</v>
      </c>
      <c r="C309" s="3" t="s">
        <v>156</v>
      </c>
      <c r="D309" s="4">
        <v>20322234</v>
      </c>
      <c r="E309" s="3" t="s">
        <v>274</v>
      </c>
      <c r="F309" s="4">
        <v>2</v>
      </c>
      <c r="G309" s="5">
        <v>2.5</v>
      </c>
      <c r="H309" s="5">
        <f t="shared" si="4"/>
        <v>5</v>
      </c>
    </row>
    <row r="310" customFormat="1" hidden="1" spans="1:8">
      <c r="A310" s="2">
        <v>46155</v>
      </c>
      <c r="B310" s="3">
        <v>1602757</v>
      </c>
      <c r="C310" s="3" t="s">
        <v>156</v>
      </c>
      <c r="D310" s="4">
        <v>20330757</v>
      </c>
      <c r="E310" s="3" t="s">
        <v>288</v>
      </c>
      <c r="F310" s="4">
        <v>3</v>
      </c>
      <c r="G310" s="5">
        <v>35</v>
      </c>
      <c r="H310" s="5">
        <f t="shared" si="4"/>
        <v>105</v>
      </c>
    </row>
    <row r="311" customFormat="1" hidden="1" spans="1:8">
      <c r="A311" s="2">
        <v>46155</v>
      </c>
      <c r="B311" s="3">
        <v>1602757</v>
      </c>
      <c r="C311" s="3" t="s">
        <v>156</v>
      </c>
      <c r="D311" s="4">
        <v>20402355</v>
      </c>
      <c r="E311" s="3" t="s">
        <v>291</v>
      </c>
      <c r="F311" s="4">
        <v>1</v>
      </c>
      <c r="G311" s="5">
        <v>25</v>
      </c>
      <c r="H311" s="5">
        <f t="shared" si="4"/>
        <v>25</v>
      </c>
    </row>
    <row r="312" customFormat="1" hidden="1" spans="1:8">
      <c r="A312" s="2">
        <v>46155</v>
      </c>
      <c r="B312" s="3">
        <v>1602757</v>
      </c>
      <c r="C312" s="3" t="s">
        <v>153</v>
      </c>
      <c r="D312" s="4">
        <v>20318334</v>
      </c>
      <c r="E312" s="3" t="s">
        <v>186</v>
      </c>
      <c r="F312" s="4">
        <v>1</v>
      </c>
      <c r="G312" s="5">
        <v>16.5</v>
      </c>
      <c r="H312" s="5">
        <f t="shared" si="4"/>
        <v>16.5</v>
      </c>
    </row>
    <row r="313" customFormat="1" hidden="1" spans="1:8">
      <c r="A313" s="2">
        <v>46155</v>
      </c>
      <c r="B313" s="3">
        <v>1602798</v>
      </c>
      <c r="C313" s="3" t="s">
        <v>150</v>
      </c>
      <c r="D313" s="4">
        <v>20366734</v>
      </c>
      <c r="E313" s="3" t="s">
        <v>213</v>
      </c>
      <c r="F313" s="4">
        <v>1</v>
      </c>
      <c r="G313" s="5">
        <v>275</v>
      </c>
      <c r="H313" s="5">
        <f t="shared" si="4"/>
        <v>275</v>
      </c>
    </row>
    <row r="314" customFormat="1" hidden="1" spans="1:8">
      <c r="A314" s="2">
        <v>46155</v>
      </c>
      <c r="B314" s="3">
        <v>1602798</v>
      </c>
      <c r="C314" s="3" t="s">
        <v>150</v>
      </c>
      <c r="D314" s="4">
        <v>20380117</v>
      </c>
      <c r="E314" s="3" t="s">
        <v>225</v>
      </c>
      <c r="F314" s="4">
        <v>1</v>
      </c>
      <c r="G314" s="5">
        <v>49.5</v>
      </c>
      <c r="H314" s="5">
        <f t="shared" si="4"/>
        <v>49.5</v>
      </c>
    </row>
    <row r="315" customFormat="1" hidden="1" spans="1:8">
      <c r="A315" s="2">
        <v>46155</v>
      </c>
      <c r="B315" s="3">
        <v>1602798</v>
      </c>
      <c r="C315" s="3" t="s">
        <v>150</v>
      </c>
      <c r="D315" s="4">
        <v>20331447</v>
      </c>
      <c r="E315" s="3" t="s">
        <v>243</v>
      </c>
      <c r="F315" s="4">
        <v>1</v>
      </c>
      <c r="G315" s="5">
        <v>264</v>
      </c>
      <c r="H315" s="5">
        <f t="shared" si="4"/>
        <v>264</v>
      </c>
    </row>
    <row r="316" customFormat="1" hidden="1" spans="1:8">
      <c r="A316" s="2">
        <v>46155</v>
      </c>
      <c r="B316" s="3">
        <v>1602798</v>
      </c>
      <c r="C316" s="3" t="s">
        <v>150</v>
      </c>
      <c r="D316" s="4">
        <v>20312966</v>
      </c>
      <c r="E316" s="3" t="s">
        <v>258</v>
      </c>
      <c r="F316" s="4">
        <v>6</v>
      </c>
      <c r="G316" s="5">
        <v>159.5</v>
      </c>
      <c r="H316" s="5">
        <f t="shared" si="4"/>
        <v>957</v>
      </c>
    </row>
    <row r="317" customFormat="1" hidden="1" spans="1:8">
      <c r="A317" s="10">
        <v>46155</v>
      </c>
      <c r="B317" s="11">
        <v>1602798</v>
      </c>
      <c r="C317" s="11" t="s">
        <v>150</v>
      </c>
      <c r="D317" s="12">
        <v>20334934</v>
      </c>
      <c r="E317" s="11" t="s">
        <v>262</v>
      </c>
      <c r="F317" s="12">
        <v>1</v>
      </c>
      <c r="G317" s="13">
        <v>121</v>
      </c>
      <c r="H317" s="13">
        <f t="shared" si="4"/>
        <v>121</v>
      </c>
    </row>
    <row r="318" customFormat="1" hidden="1" spans="1:8">
      <c r="A318" s="2">
        <v>46155</v>
      </c>
      <c r="B318" s="3">
        <v>1602798</v>
      </c>
      <c r="C318" s="3" t="s">
        <v>150</v>
      </c>
      <c r="D318" s="4">
        <v>20312965</v>
      </c>
      <c r="E318" s="3" t="s">
        <v>112</v>
      </c>
      <c r="F318" s="4">
        <v>3</v>
      </c>
      <c r="G318" s="5">
        <v>137.5</v>
      </c>
      <c r="H318" s="5">
        <f t="shared" si="4"/>
        <v>412.5</v>
      </c>
    </row>
    <row r="319" customFormat="1" hidden="1" spans="1:8">
      <c r="A319" s="2">
        <v>46155</v>
      </c>
      <c r="B319" s="3">
        <v>1602798</v>
      </c>
      <c r="C319" s="3" t="s">
        <v>150</v>
      </c>
      <c r="D319" s="4">
        <v>20312967</v>
      </c>
      <c r="E319" s="3" t="s">
        <v>289</v>
      </c>
      <c r="F319" s="4">
        <v>5</v>
      </c>
      <c r="G319" s="5">
        <v>176</v>
      </c>
      <c r="H319" s="5">
        <f t="shared" si="4"/>
        <v>880</v>
      </c>
    </row>
    <row r="320" customFormat="1" hidden="1" spans="1:8">
      <c r="A320" s="2">
        <v>46155</v>
      </c>
      <c r="B320" s="3">
        <v>1602798</v>
      </c>
      <c r="C320" s="3" t="s">
        <v>150</v>
      </c>
      <c r="D320" s="4">
        <v>20424417</v>
      </c>
      <c r="E320" s="3" t="s">
        <v>312</v>
      </c>
      <c r="F320" s="4">
        <v>1</v>
      </c>
      <c r="G320" s="5">
        <v>66</v>
      </c>
      <c r="H320" s="5">
        <f t="shared" si="4"/>
        <v>66</v>
      </c>
    </row>
    <row r="321" customFormat="1" hidden="1" spans="1:8">
      <c r="A321" s="2">
        <v>46155</v>
      </c>
      <c r="B321" s="3">
        <v>1602798</v>
      </c>
      <c r="C321" s="3" t="s">
        <v>151</v>
      </c>
      <c r="D321" s="4">
        <v>20318363</v>
      </c>
      <c r="E321" s="3" t="s">
        <v>94</v>
      </c>
      <c r="F321" s="4">
        <v>1</v>
      </c>
      <c r="G321" s="5">
        <v>8</v>
      </c>
      <c r="H321" s="5">
        <f t="shared" si="4"/>
        <v>8</v>
      </c>
    </row>
    <row r="322" customFormat="1" hidden="1" spans="1:8">
      <c r="A322" s="2">
        <v>46155</v>
      </c>
      <c r="B322" s="3">
        <v>1602798</v>
      </c>
      <c r="C322" s="3" t="s">
        <v>156</v>
      </c>
      <c r="D322" s="4">
        <v>20330757</v>
      </c>
      <c r="E322" s="3" t="s">
        <v>288</v>
      </c>
      <c r="F322" s="4">
        <v>2</v>
      </c>
      <c r="G322" s="5">
        <v>35</v>
      </c>
      <c r="H322" s="5">
        <f t="shared" ref="H322:H385" si="5">G322*F322</f>
        <v>70</v>
      </c>
    </row>
    <row r="323" customFormat="1" hidden="1" spans="1:8">
      <c r="A323" s="2">
        <v>46155</v>
      </c>
      <c r="B323" s="3">
        <v>1602798</v>
      </c>
      <c r="C323" s="3" t="s">
        <v>152</v>
      </c>
      <c r="D323" s="4">
        <v>20340286</v>
      </c>
      <c r="E323" s="3" t="s">
        <v>169</v>
      </c>
      <c r="F323" s="4">
        <v>2</v>
      </c>
      <c r="G323" s="5">
        <v>55</v>
      </c>
      <c r="H323" s="5">
        <f t="shared" si="5"/>
        <v>110</v>
      </c>
    </row>
    <row r="324" customFormat="1" hidden="1" spans="1:8">
      <c r="A324" s="2">
        <v>46155</v>
      </c>
      <c r="B324" s="3">
        <v>1602798</v>
      </c>
      <c r="C324" s="3" t="s">
        <v>152</v>
      </c>
      <c r="D324" s="4">
        <v>20366064</v>
      </c>
      <c r="E324" s="3" t="s">
        <v>195</v>
      </c>
      <c r="F324" s="4">
        <v>1</v>
      </c>
      <c r="G324" s="5">
        <v>71.5</v>
      </c>
      <c r="H324" s="5">
        <f t="shared" si="5"/>
        <v>71.5</v>
      </c>
    </row>
    <row r="325" customFormat="1" ht="25.5" hidden="1" spans="1:8">
      <c r="A325" s="2">
        <v>46155</v>
      </c>
      <c r="B325" s="3">
        <v>1602798</v>
      </c>
      <c r="C325" s="3" t="s">
        <v>152</v>
      </c>
      <c r="D325" s="4">
        <v>20395243</v>
      </c>
      <c r="E325" s="3" t="s">
        <v>212</v>
      </c>
      <c r="F325" s="4">
        <v>1</v>
      </c>
      <c r="G325" s="5">
        <v>357.5</v>
      </c>
      <c r="H325" s="5">
        <f t="shared" si="5"/>
        <v>357.5</v>
      </c>
    </row>
    <row r="326" customFormat="1" hidden="1" spans="1:8">
      <c r="A326" s="6">
        <v>46155</v>
      </c>
      <c r="B326" s="7">
        <v>1602798</v>
      </c>
      <c r="C326" s="7" t="s">
        <v>317</v>
      </c>
      <c r="D326" s="8">
        <v>20321090</v>
      </c>
      <c r="E326" s="7" t="s">
        <v>308</v>
      </c>
      <c r="F326" s="8">
        <v>1</v>
      </c>
      <c r="G326" s="9">
        <v>35</v>
      </c>
      <c r="H326" s="9">
        <f t="shared" si="5"/>
        <v>35</v>
      </c>
    </row>
    <row r="327" customFormat="1" hidden="1" spans="1:8">
      <c r="A327" s="2">
        <v>46155</v>
      </c>
      <c r="B327" s="3">
        <v>1602798</v>
      </c>
      <c r="C327" s="3" t="s">
        <v>153</v>
      </c>
      <c r="D327" s="4">
        <v>20321257</v>
      </c>
      <c r="E327" s="3" t="s">
        <v>68</v>
      </c>
      <c r="F327" s="4">
        <v>4</v>
      </c>
      <c r="G327" s="5">
        <v>16.5</v>
      </c>
      <c r="H327" s="5">
        <f t="shared" si="5"/>
        <v>66</v>
      </c>
    </row>
    <row r="328" customFormat="1" hidden="1" spans="1:8">
      <c r="A328" s="2">
        <v>46155</v>
      </c>
      <c r="B328" s="3">
        <v>1602798</v>
      </c>
      <c r="C328" s="3" t="s">
        <v>153</v>
      </c>
      <c r="D328" s="4">
        <v>20318361</v>
      </c>
      <c r="E328" s="3" t="s">
        <v>185</v>
      </c>
      <c r="F328" s="4">
        <v>1</v>
      </c>
      <c r="G328" s="5">
        <v>16.5</v>
      </c>
      <c r="H328" s="5">
        <f t="shared" si="5"/>
        <v>16.5</v>
      </c>
    </row>
    <row r="329" customFormat="1" hidden="1" spans="1:8">
      <c r="A329" s="2">
        <v>46155</v>
      </c>
      <c r="B329" s="3">
        <v>1602798</v>
      </c>
      <c r="C329" s="3" t="s">
        <v>153</v>
      </c>
      <c r="D329" s="4">
        <v>20014824</v>
      </c>
      <c r="E329" s="3" t="s">
        <v>85</v>
      </c>
      <c r="F329" s="4">
        <v>1</v>
      </c>
      <c r="G329" s="5">
        <v>16.5</v>
      </c>
      <c r="H329" s="5">
        <f t="shared" si="5"/>
        <v>16.5</v>
      </c>
    </row>
    <row r="330" customFormat="1" hidden="1" spans="1:8">
      <c r="A330" s="2">
        <v>46155</v>
      </c>
      <c r="B330" s="3">
        <v>1602798</v>
      </c>
      <c r="C330" s="3" t="s">
        <v>153</v>
      </c>
      <c r="D330" s="4">
        <v>20343399</v>
      </c>
      <c r="E330" s="3" t="s">
        <v>228</v>
      </c>
      <c r="F330" s="4">
        <v>1</v>
      </c>
      <c r="G330" s="5">
        <v>33</v>
      </c>
      <c r="H330" s="5">
        <f t="shared" si="5"/>
        <v>33</v>
      </c>
    </row>
    <row r="331" customFormat="1" hidden="1" spans="1:8">
      <c r="A331" s="2">
        <v>46155</v>
      </c>
      <c r="B331" s="3">
        <v>1602798</v>
      </c>
      <c r="C331" s="3" t="s">
        <v>153</v>
      </c>
      <c r="D331" s="4">
        <v>20318340</v>
      </c>
      <c r="E331" s="3" t="s">
        <v>240</v>
      </c>
      <c r="F331" s="4">
        <v>5</v>
      </c>
      <c r="G331" s="5">
        <v>16.5</v>
      </c>
      <c r="H331" s="5">
        <f t="shared" si="5"/>
        <v>82.5</v>
      </c>
    </row>
    <row r="332" customFormat="1" hidden="1" spans="1:8">
      <c r="A332" s="2">
        <v>46155</v>
      </c>
      <c r="B332" s="3">
        <v>1602798</v>
      </c>
      <c r="C332" s="3" t="s">
        <v>153</v>
      </c>
      <c r="D332" s="4">
        <v>20374808</v>
      </c>
      <c r="E332" s="3" t="s">
        <v>253</v>
      </c>
      <c r="F332" s="4">
        <v>1</v>
      </c>
      <c r="G332" s="5">
        <v>16.5</v>
      </c>
      <c r="H332" s="5">
        <f t="shared" si="5"/>
        <v>16.5</v>
      </c>
    </row>
    <row r="333" customFormat="1" hidden="1" spans="1:8">
      <c r="A333" s="2">
        <v>46155</v>
      </c>
      <c r="B333" s="3">
        <v>1602798</v>
      </c>
      <c r="C333" s="3" t="s">
        <v>153</v>
      </c>
      <c r="D333" s="4">
        <v>20321250</v>
      </c>
      <c r="E333" s="3" t="s">
        <v>259</v>
      </c>
      <c r="F333" s="4">
        <v>2</v>
      </c>
      <c r="G333" s="5">
        <v>16.5</v>
      </c>
      <c r="H333" s="5">
        <f t="shared" si="5"/>
        <v>33</v>
      </c>
    </row>
    <row r="334" customFormat="1" hidden="1" spans="1:8">
      <c r="A334" s="2">
        <v>46155</v>
      </c>
      <c r="B334" s="3">
        <v>1602798</v>
      </c>
      <c r="C334" s="3" t="s">
        <v>153</v>
      </c>
      <c r="D334" s="4">
        <v>20407575</v>
      </c>
      <c r="E334" s="3" t="s">
        <v>284</v>
      </c>
      <c r="F334" s="4">
        <v>1</v>
      </c>
      <c r="G334" s="5">
        <v>16.5</v>
      </c>
      <c r="H334" s="5">
        <f t="shared" si="5"/>
        <v>16.5</v>
      </c>
    </row>
    <row r="335" customFormat="1" hidden="1" spans="1:8">
      <c r="A335" s="2">
        <v>46155</v>
      </c>
      <c r="B335" s="3">
        <v>1602798</v>
      </c>
      <c r="C335" s="3" t="s">
        <v>153</v>
      </c>
      <c r="D335" s="4">
        <v>20318336</v>
      </c>
      <c r="E335" s="3" t="s">
        <v>303</v>
      </c>
      <c r="F335" s="4">
        <v>2</v>
      </c>
      <c r="G335" s="5">
        <v>16.5</v>
      </c>
      <c r="H335" s="5">
        <f t="shared" si="5"/>
        <v>33</v>
      </c>
    </row>
    <row r="336" customFormat="1" hidden="1" spans="1:8">
      <c r="A336" s="2">
        <v>46155</v>
      </c>
      <c r="B336" s="3">
        <v>1602798</v>
      </c>
      <c r="C336" s="3" t="s">
        <v>153</v>
      </c>
      <c r="D336" s="4">
        <v>20318342</v>
      </c>
      <c r="E336" s="3" t="s">
        <v>304</v>
      </c>
      <c r="F336" s="4">
        <v>1</v>
      </c>
      <c r="G336" s="5">
        <v>16.5</v>
      </c>
      <c r="H336" s="5">
        <f t="shared" si="5"/>
        <v>16.5</v>
      </c>
    </row>
    <row r="337" customFormat="1" hidden="1" spans="1:8">
      <c r="A337" s="2">
        <v>46155</v>
      </c>
      <c r="B337" s="3">
        <v>1602798</v>
      </c>
      <c r="C337" s="3" t="s">
        <v>153</v>
      </c>
      <c r="D337" s="4">
        <v>20322118</v>
      </c>
      <c r="E337" s="3" t="s">
        <v>306</v>
      </c>
      <c r="F337" s="4">
        <v>1</v>
      </c>
      <c r="G337" s="5">
        <v>16.5</v>
      </c>
      <c r="H337" s="5">
        <f t="shared" si="5"/>
        <v>16.5</v>
      </c>
    </row>
    <row r="338" customFormat="1" hidden="1" spans="1:8">
      <c r="A338" s="2">
        <v>46156</v>
      </c>
      <c r="B338" s="3">
        <v>1603006</v>
      </c>
      <c r="C338" s="3" t="s">
        <v>156</v>
      </c>
      <c r="D338" s="4">
        <v>20322243</v>
      </c>
      <c r="E338" s="3" t="s">
        <v>117</v>
      </c>
      <c r="F338" s="4">
        <v>2</v>
      </c>
      <c r="G338" s="5">
        <v>30</v>
      </c>
      <c r="H338" s="5">
        <f t="shared" si="5"/>
        <v>60</v>
      </c>
    </row>
    <row r="339" customFormat="1" hidden="1" spans="1:8">
      <c r="A339" s="2">
        <v>46156</v>
      </c>
      <c r="B339" s="3">
        <v>1603006</v>
      </c>
      <c r="C339" s="3" t="s">
        <v>156</v>
      </c>
      <c r="D339" s="4">
        <v>20322304</v>
      </c>
      <c r="E339" s="3" t="s">
        <v>275</v>
      </c>
      <c r="F339" s="4">
        <v>5</v>
      </c>
      <c r="G339" s="5">
        <v>25</v>
      </c>
      <c r="H339" s="5">
        <f t="shared" si="5"/>
        <v>125</v>
      </c>
    </row>
    <row r="340" customFormat="1" hidden="1" spans="1:8">
      <c r="A340" s="2">
        <v>46156</v>
      </c>
      <c r="B340" s="3">
        <v>1603006</v>
      </c>
      <c r="C340" s="3" t="s">
        <v>156</v>
      </c>
      <c r="D340" s="4">
        <v>20330757</v>
      </c>
      <c r="E340" s="3" t="s">
        <v>288</v>
      </c>
      <c r="F340" s="4">
        <v>4</v>
      </c>
      <c r="G340" s="5">
        <v>35</v>
      </c>
      <c r="H340" s="5">
        <f t="shared" si="5"/>
        <v>140</v>
      </c>
    </row>
    <row r="341" customFormat="1" hidden="1" spans="1:8">
      <c r="A341" s="2">
        <v>46156</v>
      </c>
      <c r="B341" s="3">
        <v>1603006</v>
      </c>
      <c r="C341" s="3" t="s">
        <v>153</v>
      </c>
      <c r="D341" s="4">
        <v>20318334</v>
      </c>
      <c r="E341" s="3" t="s">
        <v>186</v>
      </c>
      <c r="F341" s="4">
        <v>2</v>
      </c>
      <c r="G341" s="5">
        <v>16.5</v>
      </c>
      <c r="H341" s="5">
        <f t="shared" si="5"/>
        <v>33</v>
      </c>
    </row>
    <row r="342" customFormat="1" hidden="1" spans="1:8">
      <c r="A342" s="2">
        <v>46156</v>
      </c>
      <c r="B342" s="3">
        <v>1603011</v>
      </c>
      <c r="C342" s="3" t="s">
        <v>150</v>
      </c>
      <c r="D342" s="4">
        <v>20312966</v>
      </c>
      <c r="E342" s="3" t="s">
        <v>258</v>
      </c>
      <c r="F342" s="4">
        <v>2</v>
      </c>
      <c r="G342" s="5">
        <v>159.5</v>
      </c>
      <c r="H342" s="5">
        <f t="shared" si="5"/>
        <v>319</v>
      </c>
    </row>
    <row r="343" customFormat="1" hidden="1" spans="1:8">
      <c r="A343" s="2">
        <v>46156</v>
      </c>
      <c r="B343" s="3">
        <v>1603011</v>
      </c>
      <c r="C343" s="3" t="s">
        <v>150</v>
      </c>
      <c r="D343" s="4">
        <v>20312967</v>
      </c>
      <c r="E343" s="3" t="s">
        <v>289</v>
      </c>
      <c r="F343" s="4">
        <v>3</v>
      </c>
      <c r="G343" s="5">
        <v>176</v>
      </c>
      <c r="H343" s="5">
        <f t="shared" si="5"/>
        <v>528</v>
      </c>
    </row>
    <row r="344" customFormat="1" hidden="1" spans="1:8">
      <c r="A344" s="2">
        <v>46156</v>
      </c>
      <c r="B344" s="3">
        <v>1603011</v>
      </c>
      <c r="C344" s="3" t="s">
        <v>156</v>
      </c>
      <c r="D344" s="4">
        <v>20322304</v>
      </c>
      <c r="E344" s="3" t="s">
        <v>275</v>
      </c>
      <c r="F344" s="4">
        <v>2</v>
      </c>
      <c r="G344" s="5">
        <v>25</v>
      </c>
      <c r="H344" s="5">
        <f t="shared" si="5"/>
        <v>50</v>
      </c>
    </row>
    <row r="345" customFormat="1" hidden="1" spans="1:8">
      <c r="A345" s="2">
        <v>46156</v>
      </c>
      <c r="B345" s="3">
        <v>1603017</v>
      </c>
      <c r="C345" s="3" t="s">
        <v>150</v>
      </c>
      <c r="D345" s="4">
        <v>20312966</v>
      </c>
      <c r="E345" s="3" t="s">
        <v>258</v>
      </c>
      <c r="F345" s="4">
        <v>2</v>
      </c>
      <c r="G345" s="5">
        <v>159.5</v>
      </c>
      <c r="H345" s="5">
        <f t="shared" si="5"/>
        <v>319</v>
      </c>
    </row>
    <row r="346" customFormat="1" hidden="1" spans="1:8">
      <c r="A346" s="2">
        <v>46156</v>
      </c>
      <c r="B346" s="3">
        <v>1603017</v>
      </c>
      <c r="C346" s="3" t="s">
        <v>150</v>
      </c>
      <c r="D346" s="4">
        <v>20312968</v>
      </c>
      <c r="E346" s="3" t="s">
        <v>276</v>
      </c>
      <c r="F346" s="4">
        <v>1</v>
      </c>
      <c r="G346" s="5">
        <v>187</v>
      </c>
      <c r="H346" s="5">
        <f t="shared" si="5"/>
        <v>187</v>
      </c>
    </row>
    <row r="347" customFormat="1" hidden="1" spans="1:8">
      <c r="A347" s="2">
        <v>46156</v>
      </c>
      <c r="B347" s="3">
        <v>1603017</v>
      </c>
      <c r="C347" s="3" t="s">
        <v>150</v>
      </c>
      <c r="D347" s="4">
        <v>20312967</v>
      </c>
      <c r="E347" s="3" t="s">
        <v>289</v>
      </c>
      <c r="F347" s="4">
        <v>6</v>
      </c>
      <c r="G347" s="5">
        <v>176</v>
      </c>
      <c r="H347" s="5">
        <f t="shared" si="5"/>
        <v>1056</v>
      </c>
    </row>
    <row r="348" customFormat="1" hidden="1" spans="1:8">
      <c r="A348" s="2">
        <v>46156</v>
      </c>
      <c r="B348" s="3">
        <v>1603017</v>
      </c>
      <c r="C348" s="3" t="s">
        <v>150</v>
      </c>
      <c r="D348" s="4">
        <v>20424417</v>
      </c>
      <c r="E348" s="3" t="s">
        <v>312</v>
      </c>
      <c r="F348" s="4">
        <v>1</v>
      </c>
      <c r="G348" s="5">
        <v>66</v>
      </c>
      <c r="H348" s="5">
        <f t="shared" si="5"/>
        <v>66</v>
      </c>
    </row>
    <row r="349" customFormat="1" hidden="1" spans="1:8">
      <c r="A349" s="2">
        <v>46156</v>
      </c>
      <c r="B349" s="3">
        <v>1603017</v>
      </c>
      <c r="C349" s="3" t="s">
        <v>152</v>
      </c>
      <c r="D349" s="4">
        <v>20366059</v>
      </c>
      <c r="E349" s="3" t="s">
        <v>194</v>
      </c>
      <c r="F349" s="4">
        <v>1</v>
      </c>
      <c r="G349" s="5">
        <v>66</v>
      </c>
      <c r="H349" s="5">
        <f t="shared" si="5"/>
        <v>66</v>
      </c>
    </row>
    <row r="350" customFormat="1" hidden="1" spans="1:8">
      <c r="A350" s="2">
        <v>46156</v>
      </c>
      <c r="B350" s="3">
        <v>1603017</v>
      </c>
      <c r="C350" s="3" t="s">
        <v>153</v>
      </c>
      <c r="D350" s="4">
        <v>20321257</v>
      </c>
      <c r="E350" s="3" t="s">
        <v>68</v>
      </c>
      <c r="F350" s="4">
        <v>9</v>
      </c>
      <c r="G350" s="5">
        <v>16.5</v>
      </c>
      <c r="H350" s="5">
        <f t="shared" si="5"/>
        <v>148.5</v>
      </c>
    </row>
    <row r="351" customFormat="1" hidden="1" spans="1:8">
      <c r="A351" s="2">
        <v>46156</v>
      </c>
      <c r="B351" s="3">
        <v>1603017</v>
      </c>
      <c r="C351" s="3" t="s">
        <v>153</v>
      </c>
      <c r="D351" s="4">
        <v>20340289</v>
      </c>
      <c r="E351" s="3" t="s">
        <v>272</v>
      </c>
      <c r="F351" s="4">
        <v>1</v>
      </c>
      <c r="G351" s="5">
        <v>16.5</v>
      </c>
      <c r="H351" s="5">
        <f t="shared" si="5"/>
        <v>16.5</v>
      </c>
    </row>
    <row r="352" customFormat="1" hidden="1" spans="1:8">
      <c r="A352" s="2">
        <v>46156</v>
      </c>
      <c r="B352" s="3">
        <v>1603017</v>
      </c>
      <c r="C352" s="3" t="s">
        <v>153</v>
      </c>
      <c r="D352" s="4">
        <v>20318336</v>
      </c>
      <c r="E352" s="3" t="s">
        <v>303</v>
      </c>
      <c r="F352" s="4">
        <v>2</v>
      </c>
      <c r="G352" s="5">
        <v>16.5</v>
      </c>
      <c r="H352" s="5">
        <f t="shared" si="5"/>
        <v>33</v>
      </c>
    </row>
    <row r="353" customFormat="1" hidden="1" spans="1:8">
      <c r="A353" s="2">
        <v>46156</v>
      </c>
      <c r="B353" s="3">
        <v>1603114</v>
      </c>
      <c r="C353" s="3" t="s">
        <v>150</v>
      </c>
      <c r="D353" s="4">
        <v>20312966</v>
      </c>
      <c r="E353" s="3" t="s">
        <v>258</v>
      </c>
      <c r="F353" s="4">
        <v>4</v>
      </c>
      <c r="G353" s="5">
        <v>159.5</v>
      </c>
      <c r="H353" s="5">
        <f t="shared" si="5"/>
        <v>638</v>
      </c>
    </row>
    <row r="354" customFormat="1" hidden="1" spans="1:8">
      <c r="A354" s="2">
        <v>46156</v>
      </c>
      <c r="B354" s="3">
        <v>1603114</v>
      </c>
      <c r="C354" s="3" t="s">
        <v>150</v>
      </c>
      <c r="D354" s="4">
        <v>20312965</v>
      </c>
      <c r="E354" s="3" t="s">
        <v>112</v>
      </c>
      <c r="F354" s="4">
        <v>4</v>
      </c>
      <c r="G354" s="5">
        <v>137.5</v>
      </c>
      <c r="H354" s="5">
        <f t="shared" si="5"/>
        <v>550</v>
      </c>
    </row>
    <row r="355" customFormat="1" hidden="1" spans="1:8">
      <c r="A355" s="2">
        <v>46156</v>
      </c>
      <c r="B355" s="3">
        <v>1603114</v>
      </c>
      <c r="C355" s="3" t="s">
        <v>150</v>
      </c>
      <c r="D355" s="4">
        <v>20312967</v>
      </c>
      <c r="E355" s="3" t="s">
        <v>289</v>
      </c>
      <c r="F355" s="4">
        <v>7</v>
      </c>
      <c r="G355" s="5">
        <v>176</v>
      </c>
      <c r="H355" s="5">
        <f t="shared" si="5"/>
        <v>1232</v>
      </c>
    </row>
    <row r="356" customFormat="1" hidden="1" spans="1:8">
      <c r="A356" s="2">
        <v>46156</v>
      </c>
      <c r="B356" s="3">
        <v>1603114</v>
      </c>
      <c r="C356" s="3" t="s">
        <v>151</v>
      </c>
      <c r="D356" s="4">
        <v>20354360</v>
      </c>
      <c r="E356" s="3" t="s">
        <v>177</v>
      </c>
      <c r="F356" s="4">
        <v>1</v>
      </c>
      <c r="G356" s="5">
        <v>13.5</v>
      </c>
      <c r="H356" s="5">
        <f t="shared" si="5"/>
        <v>13.5</v>
      </c>
    </row>
    <row r="357" customFormat="1" hidden="1" spans="1:8">
      <c r="A357" s="2">
        <v>46156</v>
      </c>
      <c r="B357" s="3">
        <v>1603114</v>
      </c>
      <c r="C357" s="3" t="s">
        <v>151</v>
      </c>
      <c r="D357" s="4">
        <v>20424977</v>
      </c>
      <c r="E357" s="3" t="s">
        <v>178</v>
      </c>
      <c r="F357" s="4">
        <v>1</v>
      </c>
      <c r="G357" s="5">
        <v>8</v>
      </c>
      <c r="H357" s="5">
        <f t="shared" si="5"/>
        <v>8</v>
      </c>
    </row>
    <row r="358" customFormat="1" hidden="1" spans="1:8">
      <c r="A358" s="2">
        <v>46156</v>
      </c>
      <c r="B358" s="3">
        <v>1603114</v>
      </c>
      <c r="C358" s="3" t="s">
        <v>151</v>
      </c>
      <c r="D358" s="4">
        <v>20318395</v>
      </c>
      <c r="E358" s="3" t="s">
        <v>309</v>
      </c>
      <c r="F358" s="4">
        <v>2</v>
      </c>
      <c r="G358" s="5">
        <v>16.5</v>
      </c>
      <c r="H358" s="5">
        <f t="shared" si="5"/>
        <v>33</v>
      </c>
    </row>
    <row r="359" customFormat="1" hidden="1" spans="1:8">
      <c r="A359" s="2">
        <v>46156</v>
      </c>
      <c r="B359" s="3">
        <v>1603114</v>
      </c>
      <c r="C359" s="3" t="s">
        <v>153</v>
      </c>
      <c r="D359" s="4">
        <v>20318361</v>
      </c>
      <c r="E359" s="3" t="s">
        <v>185</v>
      </c>
      <c r="F359" s="4">
        <v>1</v>
      </c>
      <c r="G359" s="5">
        <v>16.5</v>
      </c>
      <c r="H359" s="5">
        <f t="shared" si="5"/>
        <v>16.5</v>
      </c>
    </row>
    <row r="360" customFormat="1" hidden="1" spans="1:8">
      <c r="A360" s="2">
        <v>46156</v>
      </c>
      <c r="B360" s="3">
        <v>1603114</v>
      </c>
      <c r="C360" s="3" t="s">
        <v>153</v>
      </c>
      <c r="D360" s="4">
        <v>20340289</v>
      </c>
      <c r="E360" s="3" t="s">
        <v>272</v>
      </c>
      <c r="F360" s="4">
        <v>1</v>
      </c>
      <c r="G360" s="5">
        <v>16.5</v>
      </c>
      <c r="H360" s="5">
        <f t="shared" si="5"/>
        <v>16.5</v>
      </c>
    </row>
    <row r="361" customFormat="1" hidden="1" spans="1:8">
      <c r="A361" s="2">
        <v>46156</v>
      </c>
      <c r="B361" s="3">
        <v>1603114</v>
      </c>
      <c r="C361" s="3" t="s">
        <v>153</v>
      </c>
      <c r="D361" s="4">
        <v>20318336</v>
      </c>
      <c r="E361" s="3" t="s">
        <v>303</v>
      </c>
      <c r="F361" s="4">
        <v>5</v>
      </c>
      <c r="G361" s="5">
        <v>16.5</v>
      </c>
      <c r="H361" s="5">
        <f t="shared" si="5"/>
        <v>82.5</v>
      </c>
    </row>
    <row r="362" customFormat="1" hidden="1" spans="1:8">
      <c r="A362" s="2">
        <v>46156</v>
      </c>
      <c r="B362" s="3">
        <v>1603114</v>
      </c>
      <c r="C362" s="3" t="s">
        <v>153</v>
      </c>
      <c r="D362" s="4">
        <v>20322118</v>
      </c>
      <c r="E362" s="3" t="s">
        <v>306</v>
      </c>
      <c r="F362" s="4">
        <v>1</v>
      </c>
      <c r="G362" s="5">
        <v>16.5</v>
      </c>
      <c r="H362" s="5">
        <f t="shared" si="5"/>
        <v>16.5</v>
      </c>
    </row>
    <row r="363" customFormat="1" hidden="1" spans="1:8">
      <c r="A363" s="2">
        <v>46156</v>
      </c>
      <c r="B363" s="3">
        <v>1603155</v>
      </c>
      <c r="C363" s="3" t="s">
        <v>156</v>
      </c>
      <c r="D363" s="4">
        <v>20330757</v>
      </c>
      <c r="E363" s="3" t="s">
        <v>288</v>
      </c>
      <c r="F363" s="4">
        <v>3</v>
      </c>
      <c r="G363" s="5">
        <v>35</v>
      </c>
      <c r="H363" s="5">
        <f t="shared" si="5"/>
        <v>105</v>
      </c>
    </row>
    <row r="364" customFormat="1" hidden="1" spans="1:8">
      <c r="A364" s="2">
        <v>46156</v>
      </c>
      <c r="B364" s="3">
        <v>1603167</v>
      </c>
      <c r="C364" s="3" t="s">
        <v>150</v>
      </c>
      <c r="D364" s="4">
        <v>20312966</v>
      </c>
      <c r="E364" s="3" t="s">
        <v>258</v>
      </c>
      <c r="F364" s="4">
        <v>3</v>
      </c>
      <c r="G364" s="5">
        <v>159.5</v>
      </c>
      <c r="H364" s="5">
        <f t="shared" si="5"/>
        <v>478.5</v>
      </c>
    </row>
    <row r="365" customFormat="1" hidden="1" spans="1:8">
      <c r="A365" s="2">
        <v>46156</v>
      </c>
      <c r="B365" s="3">
        <v>1603167</v>
      </c>
      <c r="C365" s="3" t="s">
        <v>150</v>
      </c>
      <c r="D365" s="4">
        <v>20327195</v>
      </c>
      <c r="E365" s="3" t="s">
        <v>268</v>
      </c>
      <c r="F365" s="4">
        <v>1</v>
      </c>
      <c r="G365" s="5">
        <v>44</v>
      </c>
      <c r="H365" s="5">
        <f t="shared" si="5"/>
        <v>44</v>
      </c>
    </row>
    <row r="366" customFormat="1" hidden="1" spans="1:8">
      <c r="A366" s="2">
        <v>46156</v>
      </c>
      <c r="B366" s="3">
        <v>1603167</v>
      </c>
      <c r="C366" s="3" t="s">
        <v>150</v>
      </c>
      <c r="D366" s="4">
        <v>20312965</v>
      </c>
      <c r="E366" s="3" t="s">
        <v>112</v>
      </c>
      <c r="F366" s="4">
        <v>5</v>
      </c>
      <c r="G366" s="5">
        <v>137.5</v>
      </c>
      <c r="H366" s="5">
        <f t="shared" si="5"/>
        <v>687.5</v>
      </c>
    </row>
    <row r="367" customFormat="1" hidden="1" spans="1:8">
      <c r="A367" s="2">
        <v>46156</v>
      </c>
      <c r="B367" s="3">
        <v>1603167</v>
      </c>
      <c r="C367" s="3" t="s">
        <v>150</v>
      </c>
      <c r="D367" s="4">
        <v>20312967</v>
      </c>
      <c r="E367" s="3" t="s">
        <v>289</v>
      </c>
      <c r="F367" s="4">
        <v>3</v>
      </c>
      <c r="G367" s="5">
        <v>176</v>
      </c>
      <c r="H367" s="5">
        <f t="shared" si="5"/>
        <v>528</v>
      </c>
    </row>
    <row r="368" customFormat="1" hidden="1" spans="1:8">
      <c r="A368" s="2">
        <v>46156</v>
      </c>
      <c r="B368" s="3">
        <v>1603167</v>
      </c>
      <c r="C368" s="3" t="s">
        <v>151</v>
      </c>
      <c r="D368" s="4">
        <v>20366610</v>
      </c>
      <c r="E368" s="3" t="s">
        <v>191</v>
      </c>
      <c r="F368" s="4">
        <v>1</v>
      </c>
      <c r="G368" s="5">
        <v>16.5</v>
      </c>
      <c r="H368" s="5">
        <f t="shared" si="5"/>
        <v>16.5</v>
      </c>
    </row>
    <row r="369" customFormat="1" hidden="1" spans="1:8">
      <c r="A369" s="2">
        <v>46156</v>
      </c>
      <c r="B369" s="3">
        <v>1603167</v>
      </c>
      <c r="C369" s="3" t="s">
        <v>156</v>
      </c>
      <c r="D369" s="4">
        <v>20322243</v>
      </c>
      <c r="E369" s="3" t="s">
        <v>117</v>
      </c>
      <c r="F369" s="4">
        <v>1</v>
      </c>
      <c r="G369" s="5">
        <v>30</v>
      </c>
      <c r="H369" s="5">
        <f t="shared" si="5"/>
        <v>30</v>
      </c>
    </row>
    <row r="370" customFormat="1" hidden="1" spans="1:8">
      <c r="A370" s="2">
        <v>46156</v>
      </c>
      <c r="B370" s="3">
        <v>1603167</v>
      </c>
      <c r="C370" s="3" t="s">
        <v>153</v>
      </c>
      <c r="D370" s="4">
        <v>20318334</v>
      </c>
      <c r="E370" s="3" t="s">
        <v>186</v>
      </c>
      <c r="F370" s="4">
        <v>1</v>
      </c>
      <c r="G370" s="5">
        <v>16.5</v>
      </c>
      <c r="H370" s="5">
        <f t="shared" si="5"/>
        <v>16.5</v>
      </c>
    </row>
    <row r="371" customFormat="1" hidden="1" spans="1:8">
      <c r="A371" s="2">
        <v>46156</v>
      </c>
      <c r="B371" s="3">
        <v>1603194</v>
      </c>
      <c r="C371" s="3" t="s">
        <v>150</v>
      </c>
      <c r="D371" s="4">
        <v>20321918</v>
      </c>
      <c r="E371" s="3" t="s">
        <v>175</v>
      </c>
      <c r="F371" s="4">
        <v>1</v>
      </c>
      <c r="G371" s="5">
        <v>49.5</v>
      </c>
      <c r="H371" s="5">
        <f t="shared" si="5"/>
        <v>49.5</v>
      </c>
    </row>
    <row r="372" customFormat="1" hidden="1" spans="1:8">
      <c r="A372" s="2">
        <v>46156</v>
      </c>
      <c r="B372" s="3">
        <v>1603194</v>
      </c>
      <c r="C372" s="3" t="s">
        <v>150</v>
      </c>
      <c r="D372" s="4">
        <v>20365495</v>
      </c>
      <c r="E372" s="3" t="s">
        <v>249</v>
      </c>
      <c r="F372" s="4">
        <v>1</v>
      </c>
      <c r="G372" s="5">
        <v>154</v>
      </c>
      <c r="H372" s="5">
        <f t="shared" si="5"/>
        <v>154</v>
      </c>
    </row>
    <row r="373" customFormat="1" hidden="1" spans="1:8">
      <c r="A373" s="2">
        <v>46156</v>
      </c>
      <c r="B373" s="3">
        <v>1603194</v>
      </c>
      <c r="C373" s="3" t="s">
        <v>150</v>
      </c>
      <c r="D373" s="4">
        <v>20312965</v>
      </c>
      <c r="E373" s="3" t="s">
        <v>112</v>
      </c>
      <c r="F373" s="4">
        <v>1</v>
      </c>
      <c r="G373" s="5">
        <v>137.5</v>
      </c>
      <c r="H373" s="5">
        <f t="shared" si="5"/>
        <v>137.5</v>
      </c>
    </row>
    <row r="374" customFormat="1" hidden="1" spans="1:8">
      <c r="A374" s="2">
        <v>46156</v>
      </c>
      <c r="B374" s="3">
        <v>1603194</v>
      </c>
      <c r="C374" s="3" t="s">
        <v>151</v>
      </c>
      <c r="D374" s="4">
        <v>20410957</v>
      </c>
      <c r="E374" s="3" t="s">
        <v>197</v>
      </c>
      <c r="F374" s="4">
        <v>1</v>
      </c>
      <c r="G374" s="5">
        <v>16.5</v>
      </c>
      <c r="H374" s="5">
        <f t="shared" si="5"/>
        <v>16.5</v>
      </c>
    </row>
    <row r="375" customFormat="1" hidden="1" spans="1:8">
      <c r="A375" s="2">
        <v>46156</v>
      </c>
      <c r="B375" s="3">
        <v>1603194</v>
      </c>
      <c r="C375" s="3" t="s">
        <v>156</v>
      </c>
      <c r="D375" s="4">
        <v>20322235</v>
      </c>
      <c r="E375" s="3" t="s">
        <v>111</v>
      </c>
      <c r="F375" s="4">
        <v>5</v>
      </c>
      <c r="G375" s="5">
        <v>2.5</v>
      </c>
      <c r="H375" s="5">
        <f t="shared" si="5"/>
        <v>12.5</v>
      </c>
    </row>
    <row r="376" customFormat="1" hidden="1" spans="1:8">
      <c r="A376" s="2">
        <v>46156</v>
      </c>
      <c r="B376" s="3">
        <v>1603194</v>
      </c>
      <c r="C376" s="3" t="s">
        <v>156</v>
      </c>
      <c r="D376" s="4">
        <v>20322234</v>
      </c>
      <c r="E376" s="3" t="s">
        <v>274</v>
      </c>
      <c r="F376" s="4">
        <v>5</v>
      </c>
      <c r="G376" s="5">
        <v>2.5</v>
      </c>
      <c r="H376" s="5">
        <f t="shared" si="5"/>
        <v>12.5</v>
      </c>
    </row>
    <row r="377" customFormat="1" hidden="1" spans="1:8">
      <c r="A377" s="2">
        <v>46156</v>
      </c>
      <c r="B377" s="3">
        <v>1603194</v>
      </c>
      <c r="C377" s="3" t="s">
        <v>152</v>
      </c>
      <c r="D377" s="4">
        <v>20366065</v>
      </c>
      <c r="E377" s="3" t="s">
        <v>196</v>
      </c>
      <c r="F377" s="4">
        <v>1</v>
      </c>
      <c r="G377" s="5">
        <v>71.5</v>
      </c>
      <c r="H377" s="5">
        <f t="shared" si="5"/>
        <v>71.5</v>
      </c>
    </row>
    <row r="378" customFormat="1" hidden="1" spans="1:8">
      <c r="A378" s="2">
        <v>46156</v>
      </c>
      <c r="B378" s="3">
        <v>1603194</v>
      </c>
      <c r="C378" s="3" t="s">
        <v>153</v>
      </c>
      <c r="D378" s="4">
        <v>20318336</v>
      </c>
      <c r="E378" s="3" t="s">
        <v>303</v>
      </c>
      <c r="F378" s="4">
        <v>2</v>
      </c>
      <c r="G378" s="5">
        <v>16.5</v>
      </c>
      <c r="H378" s="5">
        <f t="shared" si="5"/>
        <v>33</v>
      </c>
    </row>
    <row r="379" customFormat="1" hidden="1" spans="1:8">
      <c r="A379" s="2">
        <v>46156</v>
      </c>
      <c r="B379" s="3">
        <v>1603194</v>
      </c>
      <c r="C379" s="3" t="s">
        <v>153</v>
      </c>
      <c r="D379" s="4">
        <v>20318342</v>
      </c>
      <c r="E379" s="3" t="s">
        <v>304</v>
      </c>
      <c r="F379" s="4">
        <v>1</v>
      </c>
      <c r="G379" s="5">
        <v>16.5</v>
      </c>
      <c r="H379" s="5">
        <f t="shared" si="5"/>
        <v>16.5</v>
      </c>
    </row>
    <row r="380" customFormat="1" hidden="1" spans="1:8">
      <c r="A380" s="2">
        <v>46156</v>
      </c>
      <c r="B380" s="3">
        <v>1603207</v>
      </c>
      <c r="C380" s="3" t="s">
        <v>150</v>
      </c>
      <c r="D380" s="4">
        <v>20365495</v>
      </c>
      <c r="E380" s="3" t="s">
        <v>249</v>
      </c>
      <c r="F380" s="4">
        <v>1</v>
      </c>
      <c r="G380" s="5">
        <v>154</v>
      </c>
      <c r="H380" s="5">
        <f t="shared" si="5"/>
        <v>154</v>
      </c>
    </row>
    <row r="381" customFormat="1" hidden="1" spans="1:8">
      <c r="A381" s="2">
        <v>46156</v>
      </c>
      <c r="B381" s="3">
        <v>1603207</v>
      </c>
      <c r="C381" s="3" t="s">
        <v>150</v>
      </c>
      <c r="D381" s="4">
        <v>20312966</v>
      </c>
      <c r="E381" s="3" t="s">
        <v>258</v>
      </c>
      <c r="F381" s="4">
        <v>4</v>
      </c>
      <c r="G381" s="5">
        <v>159.5</v>
      </c>
      <c r="H381" s="5">
        <f t="shared" si="5"/>
        <v>638</v>
      </c>
    </row>
    <row r="382" customFormat="1" hidden="1" spans="1:8">
      <c r="A382" s="2">
        <v>46156</v>
      </c>
      <c r="B382" s="3">
        <v>1603207</v>
      </c>
      <c r="C382" s="3" t="s">
        <v>150</v>
      </c>
      <c r="D382" s="4">
        <v>20312965</v>
      </c>
      <c r="E382" s="3" t="s">
        <v>112</v>
      </c>
      <c r="F382" s="4">
        <v>5</v>
      </c>
      <c r="G382" s="5">
        <v>137.5</v>
      </c>
      <c r="H382" s="5">
        <f t="shared" si="5"/>
        <v>687.5</v>
      </c>
    </row>
    <row r="383" customFormat="1" hidden="1" spans="1:8">
      <c r="A383" s="2">
        <v>46156</v>
      </c>
      <c r="B383" s="3">
        <v>1603207</v>
      </c>
      <c r="C383" s="3" t="s">
        <v>150</v>
      </c>
      <c r="D383" s="4">
        <v>20312967</v>
      </c>
      <c r="E383" s="3" t="s">
        <v>289</v>
      </c>
      <c r="F383" s="4">
        <v>7</v>
      </c>
      <c r="G383" s="5">
        <v>176</v>
      </c>
      <c r="H383" s="5">
        <f t="shared" si="5"/>
        <v>1232</v>
      </c>
    </row>
    <row r="384" customFormat="1" hidden="1" spans="1:8">
      <c r="A384" s="2">
        <v>46156</v>
      </c>
      <c r="B384" s="3">
        <v>1603207</v>
      </c>
      <c r="C384" s="3" t="s">
        <v>151</v>
      </c>
      <c r="D384" s="4">
        <v>20410296</v>
      </c>
      <c r="E384" s="3" t="s">
        <v>188</v>
      </c>
      <c r="F384" s="4">
        <v>1</v>
      </c>
      <c r="G384" s="5">
        <v>16.5</v>
      </c>
      <c r="H384" s="5">
        <f t="shared" si="5"/>
        <v>16.5</v>
      </c>
    </row>
    <row r="385" customFormat="1" hidden="1" spans="1:8">
      <c r="A385" s="2">
        <v>46156</v>
      </c>
      <c r="B385" s="3">
        <v>1603207</v>
      </c>
      <c r="C385" s="3" t="s">
        <v>151</v>
      </c>
      <c r="D385" s="4">
        <v>20411008</v>
      </c>
      <c r="E385" s="3" t="s">
        <v>198</v>
      </c>
      <c r="F385" s="4">
        <v>1</v>
      </c>
      <c r="G385" s="5">
        <v>16.5</v>
      </c>
      <c r="H385" s="5">
        <f t="shared" si="5"/>
        <v>16.5</v>
      </c>
    </row>
    <row r="386" customFormat="1" hidden="1" spans="1:8">
      <c r="A386" s="2">
        <v>46156</v>
      </c>
      <c r="B386" s="3">
        <v>1603207</v>
      </c>
      <c r="C386" s="3" t="s">
        <v>151</v>
      </c>
      <c r="D386" s="4">
        <v>20318363</v>
      </c>
      <c r="E386" s="3" t="s">
        <v>94</v>
      </c>
      <c r="F386" s="4">
        <v>2</v>
      </c>
      <c r="G386" s="5">
        <v>8</v>
      </c>
      <c r="H386" s="5">
        <f t="shared" ref="H386:H449" si="6">G386*F386</f>
        <v>16</v>
      </c>
    </row>
    <row r="387" customFormat="1" hidden="1" spans="1:8">
      <c r="A387" s="2">
        <v>46156</v>
      </c>
      <c r="B387" s="3">
        <v>1603207</v>
      </c>
      <c r="C387" s="3" t="s">
        <v>156</v>
      </c>
      <c r="D387" s="4">
        <v>20330757</v>
      </c>
      <c r="E387" s="3" t="s">
        <v>288</v>
      </c>
      <c r="F387" s="4">
        <v>3</v>
      </c>
      <c r="G387" s="5">
        <v>35</v>
      </c>
      <c r="H387" s="5">
        <f t="shared" si="6"/>
        <v>105</v>
      </c>
    </row>
    <row r="388" customFormat="1" hidden="1" spans="1:8">
      <c r="A388" s="2">
        <v>46156</v>
      </c>
      <c r="B388" s="3">
        <v>1603207</v>
      </c>
      <c r="C388" s="3" t="s">
        <v>152</v>
      </c>
      <c r="D388" s="4">
        <v>20366063</v>
      </c>
      <c r="E388" s="3" t="s">
        <v>193</v>
      </c>
      <c r="F388" s="4">
        <v>1</v>
      </c>
      <c r="G388" s="5">
        <v>66</v>
      </c>
      <c r="H388" s="5">
        <f t="shared" si="6"/>
        <v>66</v>
      </c>
    </row>
    <row r="389" customFormat="1" hidden="1" spans="1:8">
      <c r="A389" s="2">
        <v>46156</v>
      </c>
      <c r="B389" s="3">
        <v>1603207</v>
      </c>
      <c r="C389" s="3" t="s">
        <v>152</v>
      </c>
      <c r="D389" s="4">
        <v>20366059</v>
      </c>
      <c r="E389" s="3" t="s">
        <v>194</v>
      </c>
      <c r="F389" s="4">
        <v>1</v>
      </c>
      <c r="G389" s="5">
        <v>66</v>
      </c>
      <c r="H389" s="5">
        <f t="shared" si="6"/>
        <v>66</v>
      </c>
    </row>
    <row r="390" customFormat="1" hidden="1" spans="1:8">
      <c r="A390" s="2">
        <v>46156</v>
      </c>
      <c r="B390" s="3">
        <v>1603207</v>
      </c>
      <c r="C390" s="3" t="s">
        <v>152</v>
      </c>
      <c r="D390" s="4">
        <v>20408950</v>
      </c>
      <c r="E390" s="3" t="s">
        <v>295</v>
      </c>
      <c r="F390" s="4">
        <v>1</v>
      </c>
      <c r="G390" s="5">
        <v>60.5</v>
      </c>
      <c r="H390" s="5">
        <f t="shared" si="6"/>
        <v>60.5</v>
      </c>
    </row>
    <row r="391" customFormat="1" hidden="1" spans="1:8">
      <c r="A391" s="2">
        <v>46156</v>
      </c>
      <c r="B391" s="3">
        <v>1603207</v>
      </c>
      <c r="C391" s="3" t="s">
        <v>153</v>
      </c>
      <c r="D391" s="4">
        <v>20318385</v>
      </c>
      <c r="E391" s="3" t="s">
        <v>173</v>
      </c>
      <c r="F391" s="4">
        <v>1</v>
      </c>
      <c r="G391" s="5">
        <v>38.5</v>
      </c>
      <c r="H391" s="5">
        <f t="shared" si="6"/>
        <v>38.5</v>
      </c>
    </row>
    <row r="392" customFormat="1" hidden="1" spans="1:8">
      <c r="A392" s="2">
        <v>46156</v>
      </c>
      <c r="B392" s="3">
        <v>1603207</v>
      </c>
      <c r="C392" s="3" t="s">
        <v>153</v>
      </c>
      <c r="D392" s="4">
        <v>20321257</v>
      </c>
      <c r="E392" s="3" t="s">
        <v>68</v>
      </c>
      <c r="F392" s="4">
        <v>5</v>
      </c>
      <c r="G392" s="5">
        <v>16.5</v>
      </c>
      <c r="H392" s="5">
        <f t="shared" si="6"/>
        <v>82.5</v>
      </c>
    </row>
    <row r="393" customFormat="1" hidden="1" spans="1:8">
      <c r="A393" s="2">
        <v>46156</v>
      </c>
      <c r="B393" s="3">
        <v>1603207</v>
      </c>
      <c r="C393" s="3" t="s">
        <v>153</v>
      </c>
      <c r="D393" s="4">
        <v>20363041</v>
      </c>
      <c r="E393" s="3" t="s">
        <v>187</v>
      </c>
      <c r="F393" s="4">
        <v>2</v>
      </c>
      <c r="G393" s="5">
        <v>16.5</v>
      </c>
      <c r="H393" s="5">
        <f t="shared" si="6"/>
        <v>33</v>
      </c>
    </row>
    <row r="394" customFormat="1" hidden="1" spans="1:8">
      <c r="A394" s="2">
        <v>46156</v>
      </c>
      <c r="B394" s="3">
        <v>1603207</v>
      </c>
      <c r="C394" s="3" t="s">
        <v>153</v>
      </c>
      <c r="D394" s="4">
        <v>20343399</v>
      </c>
      <c r="E394" s="3" t="s">
        <v>228</v>
      </c>
      <c r="F394" s="4">
        <v>1</v>
      </c>
      <c r="G394" s="5">
        <v>33</v>
      </c>
      <c r="H394" s="5">
        <f t="shared" si="6"/>
        <v>33</v>
      </c>
    </row>
    <row r="395" customFormat="1" hidden="1" spans="1:8">
      <c r="A395" s="2">
        <v>46156</v>
      </c>
      <c r="B395" s="3">
        <v>1603207</v>
      </c>
      <c r="C395" s="3" t="s">
        <v>153</v>
      </c>
      <c r="D395" s="4">
        <v>20318378</v>
      </c>
      <c r="E395" s="3" t="s">
        <v>231</v>
      </c>
      <c r="F395" s="4">
        <v>2</v>
      </c>
      <c r="G395" s="5">
        <v>16.5</v>
      </c>
      <c r="H395" s="5">
        <f t="shared" si="6"/>
        <v>33</v>
      </c>
    </row>
    <row r="396" customFormat="1" hidden="1" spans="1:8">
      <c r="A396" s="2">
        <v>46156</v>
      </c>
      <c r="B396" s="3">
        <v>1603207</v>
      </c>
      <c r="C396" s="3" t="s">
        <v>153</v>
      </c>
      <c r="D396" s="4">
        <v>20318380</v>
      </c>
      <c r="E396" s="3" t="s">
        <v>232</v>
      </c>
      <c r="F396" s="4">
        <v>1</v>
      </c>
      <c r="G396" s="5">
        <v>16.5</v>
      </c>
      <c r="H396" s="5">
        <f t="shared" si="6"/>
        <v>16.5</v>
      </c>
    </row>
    <row r="397" customFormat="1" hidden="1" spans="1:8">
      <c r="A397" s="2">
        <v>46156</v>
      </c>
      <c r="B397" s="3">
        <v>1603207</v>
      </c>
      <c r="C397" s="3" t="s">
        <v>153</v>
      </c>
      <c r="D397" s="4">
        <v>20321604</v>
      </c>
      <c r="E397" s="3" t="s">
        <v>233</v>
      </c>
      <c r="F397" s="4">
        <v>1</v>
      </c>
      <c r="G397" s="5">
        <v>16.5</v>
      </c>
      <c r="H397" s="5">
        <f t="shared" si="6"/>
        <v>16.5</v>
      </c>
    </row>
    <row r="398" customFormat="1" hidden="1" spans="1:8">
      <c r="A398" s="2">
        <v>46156</v>
      </c>
      <c r="B398" s="3">
        <v>1603207</v>
      </c>
      <c r="C398" s="3" t="s">
        <v>153</v>
      </c>
      <c r="D398" s="4">
        <v>20318340</v>
      </c>
      <c r="E398" s="3" t="s">
        <v>240</v>
      </c>
      <c r="F398" s="4">
        <v>2</v>
      </c>
      <c r="G398" s="5">
        <v>16.5</v>
      </c>
      <c r="H398" s="5">
        <f t="shared" si="6"/>
        <v>33</v>
      </c>
    </row>
    <row r="399" customFormat="1" hidden="1" spans="1:8">
      <c r="A399" s="2">
        <v>46156</v>
      </c>
      <c r="B399" s="3">
        <v>1603207</v>
      </c>
      <c r="C399" s="3" t="s">
        <v>153</v>
      </c>
      <c r="D399" s="4">
        <v>20340289</v>
      </c>
      <c r="E399" s="3" t="s">
        <v>272</v>
      </c>
      <c r="F399" s="4">
        <v>1</v>
      </c>
      <c r="G399" s="5">
        <v>16.5</v>
      </c>
      <c r="H399" s="5">
        <f t="shared" si="6"/>
        <v>16.5</v>
      </c>
    </row>
    <row r="400" customFormat="1" hidden="1" spans="1:8">
      <c r="A400" s="2">
        <v>46156</v>
      </c>
      <c r="B400" s="3">
        <v>1603207</v>
      </c>
      <c r="C400" s="3" t="s">
        <v>153</v>
      </c>
      <c r="D400" s="4">
        <v>20318336</v>
      </c>
      <c r="E400" s="3" t="s">
        <v>303</v>
      </c>
      <c r="F400" s="4">
        <v>2</v>
      </c>
      <c r="G400" s="5">
        <v>16.5</v>
      </c>
      <c r="H400" s="5">
        <f t="shared" si="6"/>
        <v>33</v>
      </c>
    </row>
    <row r="401" customFormat="1" hidden="1" spans="1:8">
      <c r="A401" s="2">
        <v>46156</v>
      </c>
      <c r="B401" s="3">
        <v>1603207</v>
      </c>
      <c r="C401" s="3" t="s">
        <v>153</v>
      </c>
      <c r="D401" s="4">
        <v>20318342</v>
      </c>
      <c r="E401" s="3" t="s">
        <v>304</v>
      </c>
      <c r="F401" s="4">
        <v>1</v>
      </c>
      <c r="G401" s="5">
        <v>16.5</v>
      </c>
      <c r="H401" s="5">
        <f t="shared" si="6"/>
        <v>16.5</v>
      </c>
    </row>
    <row r="402" customFormat="1" hidden="1" spans="1:8">
      <c r="A402" s="2">
        <v>46157</v>
      </c>
      <c r="B402" s="3">
        <v>1603406</v>
      </c>
      <c r="C402" s="3" t="s">
        <v>150</v>
      </c>
      <c r="D402" s="4">
        <v>20321476</v>
      </c>
      <c r="E402" s="3" t="s">
        <v>161</v>
      </c>
      <c r="F402" s="4">
        <v>1</v>
      </c>
      <c r="G402" s="5">
        <v>55</v>
      </c>
      <c r="H402" s="5">
        <f t="shared" si="6"/>
        <v>55</v>
      </c>
    </row>
    <row r="403" customFormat="1" hidden="1" spans="1:8">
      <c r="A403" s="2">
        <v>46157</v>
      </c>
      <c r="B403" s="3">
        <v>1603406</v>
      </c>
      <c r="C403" s="3" t="s">
        <v>150</v>
      </c>
      <c r="D403" s="4">
        <v>20321252</v>
      </c>
      <c r="E403" s="3" t="s">
        <v>162</v>
      </c>
      <c r="F403" s="4">
        <v>1</v>
      </c>
      <c r="G403" s="5">
        <v>49.5</v>
      </c>
      <c r="H403" s="5">
        <f t="shared" si="6"/>
        <v>49.5</v>
      </c>
    </row>
    <row r="404" customFormat="1" hidden="1" spans="1:8">
      <c r="A404" s="2">
        <v>46157</v>
      </c>
      <c r="B404" s="3">
        <v>1603406</v>
      </c>
      <c r="C404" s="3" t="s">
        <v>150</v>
      </c>
      <c r="D404" s="4">
        <v>20312966</v>
      </c>
      <c r="E404" s="3" t="s">
        <v>258</v>
      </c>
      <c r="F404" s="4">
        <v>4</v>
      </c>
      <c r="G404" s="5">
        <v>159.5</v>
      </c>
      <c r="H404" s="5">
        <f t="shared" si="6"/>
        <v>638</v>
      </c>
    </row>
    <row r="405" customFormat="1" hidden="1" spans="1:8">
      <c r="A405" s="2">
        <v>46157</v>
      </c>
      <c r="B405" s="3">
        <v>1603406</v>
      </c>
      <c r="C405" s="3" t="s">
        <v>150</v>
      </c>
      <c r="D405" s="4">
        <v>20312965</v>
      </c>
      <c r="E405" s="3" t="s">
        <v>112</v>
      </c>
      <c r="F405" s="4">
        <v>3</v>
      </c>
      <c r="G405" s="5">
        <v>137.5</v>
      </c>
      <c r="H405" s="5">
        <f t="shared" si="6"/>
        <v>412.5</v>
      </c>
    </row>
    <row r="406" customFormat="1" hidden="1" spans="1:8">
      <c r="A406" s="2">
        <v>46157</v>
      </c>
      <c r="B406" s="3">
        <v>1603406</v>
      </c>
      <c r="C406" s="3" t="s">
        <v>150</v>
      </c>
      <c r="D406" s="4">
        <v>20312967</v>
      </c>
      <c r="E406" s="3" t="s">
        <v>289</v>
      </c>
      <c r="F406" s="4">
        <v>2</v>
      </c>
      <c r="G406" s="5">
        <v>176</v>
      </c>
      <c r="H406" s="5">
        <f t="shared" si="6"/>
        <v>352</v>
      </c>
    </row>
    <row r="407" customFormat="1" hidden="1" spans="1:8">
      <c r="A407" s="2">
        <v>46157</v>
      </c>
      <c r="B407" s="3">
        <v>1603406</v>
      </c>
      <c r="C407" s="3" t="s">
        <v>156</v>
      </c>
      <c r="D407" s="4">
        <v>20322304</v>
      </c>
      <c r="E407" s="3" t="s">
        <v>275</v>
      </c>
      <c r="F407" s="4">
        <v>6</v>
      </c>
      <c r="G407" s="5">
        <v>25</v>
      </c>
      <c r="H407" s="5">
        <f t="shared" si="6"/>
        <v>150</v>
      </c>
    </row>
    <row r="408" customFormat="1" hidden="1" spans="1:8">
      <c r="A408" s="2">
        <v>46157</v>
      </c>
      <c r="B408" s="3">
        <v>1603406</v>
      </c>
      <c r="C408" s="3" t="s">
        <v>153</v>
      </c>
      <c r="D408" s="4">
        <v>20321257</v>
      </c>
      <c r="E408" s="3" t="s">
        <v>68</v>
      </c>
      <c r="F408" s="4">
        <v>12</v>
      </c>
      <c r="G408" s="5">
        <v>16.5</v>
      </c>
      <c r="H408" s="5">
        <f t="shared" si="6"/>
        <v>198</v>
      </c>
    </row>
    <row r="409" customFormat="1" hidden="1" spans="1:8">
      <c r="A409" s="2">
        <v>46157</v>
      </c>
      <c r="B409" s="3">
        <v>1603406</v>
      </c>
      <c r="C409" s="3" t="s">
        <v>153</v>
      </c>
      <c r="D409" s="4">
        <v>20318334</v>
      </c>
      <c r="E409" s="3" t="s">
        <v>186</v>
      </c>
      <c r="F409" s="4">
        <v>1</v>
      </c>
      <c r="G409" s="5">
        <v>16.5</v>
      </c>
      <c r="H409" s="5">
        <f t="shared" si="6"/>
        <v>16.5</v>
      </c>
    </row>
    <row r="410" customFormat="1" hidden="1" spans="1:8">
      <c r="A410" s="2">
        <v>46157</v>
      </c>
      <c r="B410" s="3">
        <v>1603406</v>
      </c>
      <c r="C410" s="3" t="s">
        <v>153</v>
      </c>
      <c r="D410" s="4">
        <v>20014824</v>
      </c>
      <c r="E410" s="3" t="s">
        <v>85</v>
      </c>
      <c r="F410" s="4">
        <v>1</v>
      </c>
      <c r="G410" s="5">
        <v>16.5</v>
      </c>
      <c r="H410" s="5">
        <f t="shared" si="6"/>
        <v>16.5</v>
      </c>
    </row>
    <row r="411" customFormat="1" hidden="1" spans="1:8">
      <c r="A411" s="2">
        <v>46157</v>
      </c>
      <c r="B411" s="3">
        <v>1603406</v>
      </c>
      <c r="C411" s="3" t="s">
        <v>153</v>
      </c>
      <c r="D411" s="4">
        <v>20340289</v>
      </c>
      <c r="E411" s="3" t="s">
        <v>272</v>
      </c>
      <c r="F411" s="4">
        <v>2</v>
      </c>
      <c r="G411" s="5">
        <v>16.5</v>
      </c>
      <c r="H411" s="5">
        <f t="shared" si="6"/>
        <v>33</v>
      </c>
    </row>
    <row r="412" customFormat="1" hidden="1" spans="1:8">
      <c r="A412" s="2">
        <v>46157</v>
      </c>
      <c r="B412" s="3">
        <v>1603406</v>
      </c>
      <c r="C412" s="3" t="s">
        <v>153</v>
      </c>
      <c r="D412" s="4">
        <v>20383164</v>
      </c>
      <c r="E412" s="3" t="s">
        <v>273</v>
      </c>
      <c r="F412" s="4">
        <v>1</v>
      </c>
      <c r="G412" s="5">
        <v>22</v>
      </c>
      <c r="H412" s="5">
        <f t="shared" si="6"/>
        <v>22</v>
      </c>
    </row>
    <row r="413" customFormat="1" hidden="1" spans="1:8">
      <c r="A413" s="2">
        <v>46157</v>
      </c>
      <c r="B413" s="3">
        <v>1603406</v>
      </c>
      <c r="C413" s="3" t="s">
        <v>153</v>
      </c>
      <c r="D413" s="4">
        <v>20407575</v>
      </c>
      <c r="E413" s="3" t="s">
        <v>284</v>
      </c>
      <c r="F413" s="4">
        <v>1</v>
      </c>
      <c r="G413" s="5">
        <v>16.5</v>
      </c>
      <c r="H413" s="5">
        <f t="shared" si="6"/>
        <v>16.5</v>
      </c>
    </row>
    <row r="414" customFormat="1" hidden="1" spans="1:8">
      <c r="A414" s="2">
        <v>46157</v>
      </c>
      <c r="B414" s="3">
        <v>1603409</v>
      </c>
      <c r="C414" s="3" t="s">
        <v>150</v>
      </c>
      <c r="D414" s="4">
        <v>20312966</v>
      </c>
      <c r="E414" s="3" t="s">
        <v>258</v>
      </c>
      <c r="F414" s="4">
        <v>3</v>
      </c>
      <c r="G414" s="5">
        <v>159.5</v>
      </c>
      <c r="H414" s="5">
        <f t="shared" si="6"/>
        <v>478.5</v>
      </c>
    </row>
    <row r="415" customFormat="1" hidden="1" spans="1:8">
      <c r="A415" s="2">
        <v>46157</v>
      </c>
      <c r="B415" s="3">
        <v>1603409</v>
      </c>
      <c r="C415" s="3" t="s">
        <v>150</v>
      </c>
      <c r="D415" s="4">
        <v>20312967</v>
      </c>
      <c r="E415" s="3" t="s">
        <v>289</v>
      </c>
      <c r="F415" s="4">
        <v>5</v>
      </c>
      <c r="G415" s="5">
        <v>176</v>
      </c>
      <c r="H415" s="5">
        <f t="shared" si="6"/>
        <v>880</v>
      </c>
    </row>
    <row r="416" customFormat="1" hidden="1" spans="1:8">
      <c r="A416" s="2">
        <v>46157</v>
      </c>
      <c r="B416" s="3">
        <v>1603409</v>
      </c>
      <c r="C416" s="3" t="s">
        <v>151</v>
      </c>
      <c r="D416" s="4">
        <v>20337609</v>
      </c>
      <c r="E416" s="3" t="s">
        <v>267</v>
      </c>
      <c r="F416" s="4">
        <v>1</v>
      </c>
      <c r="G416" s="5">
        <v>8</v>
      </c>
      <c r="H416" s="5">
        <f t="shared" si="6"/>
        <v>8</v>
      </c>
    </row>
    <row r="417" customFormat="1" hidden="1" spans="1:8">
      <c r="A417" s="2">
        <v>46157</v>
      </c>
      <c r="B417" s="3">
        <v>1603409</v>
      </c>
      <c r="C417" s="3" t="s">
        <v>156</v>
      </c>
      <c r="D417" s="4">
        <v>20322243</v>
      </c>
      <c r="E417" s="3" t="s">
        <v>117</v>
      </c>
      <c r="F417" s="4">
        <v>2</v>
      </c>
      <c r="G417" s="5">
        <v>30</v>
      </c>
      <c r="H417" s="5">
        <f t="shared" si="6"/>
        <v>60</v>
      </c>
    </row>
    <row r="418" customFormat="1" hidden="1" spans="1:8">
      <c r="A418" s="2">
        <v>46157</v>
      </c>
      <c r="B418" s="3">
        <v>1603409</v>
      </c>
      <c r="C418" s="3" t="s">
        <v>156</v>
      </c>
      <c r="D418" s="4">
        <v>20330757</v>
      </c>
      <c r="E418" s="3" t="s">
        <v>288</v>
      </c>
      <c r="F418" s="4">
        <v>3</v>
      </c>
      <c r="G418" s="5">
        <v>35</v>
      </c>
      <c r="H418" s="5">
        <f t="shared" si="6"/>
        <v>105</v>
      </c>
    </row>
    <row r="419" customFormat="1" hidden="1" spans="1:8">
      <c r="A419" s="2">
        <v>46157</v>
      </c>
      <c r="B419" s="3">
        <v>1603409</v>
      </c>
      <c r="C419" s="3" t="s">
        <v>156</v>
      </c>
      <c r="D419" s="4">
        <v>20402355</v>
      </c>
      <c r="E419" s="3" t="s">
        <v>291</v>
      </c>
      <c r="F419" s="4">
        <v>1</v>
      </c>
      <c r="G419" s="5">
        <v>25</v>
      </c>
      <c r="H419" s="5">
        <f t="shared" si="6"/>
        <v>25</v>
      </c>
    </row>
    <row r="420" customFormat="1" hidden="1" spans="1:8">
      <c r="A420" s="2">
        <v>46157</v>
      </c>
      <c r="B420" s="3">
        <v>1603409</v>
      </c>
      <c r="C420" s="3" t="s">
        <v>153</v>
      </c>
      <c r="D420" s="4">
        <v>20318340</v>
      </c>
      <c r="E420" s="3" t="s">
        <v>240</v>
      </c>
      <c r="F420" s="4">
        <v>1</v>
      </c>
      <c r="G420" s="5">
        <v>16.5</v>
      </c>
      <c r="H420" s="5">
        <f t="shared" si="6"/>
        <v>16.5</v>
      </c>
    </row>
    <row r="421" customFormat="1" hidden="1" spans="1:8">
      <c r="A421" s="2">
        <v>46157</v>
      </c>
      <c r="B421" s="3">
        <v>1603409</v>
      </c>
      <c r="C421" s="3" t="s">
        <v>153</v>
      </c>
      <c r="D421" s="4">
        <v>20321250</v>
      </c>
      <c r="E421" s="3" t="s">
        <v>259</v>
      </c>
      <c r="F421" s="4">
        <v>1</v>
      </c>
      <c r="G421" s="5">
        <v>16.5</v>
      </c>
      <c r="H421" s="5">
        <f t="shared" si="6"/>
        <v>16.5</v>
      </c>
    </row>
    <row r="422" customFormat="1" hidden="1" spans="1:8">
      <c r="A422" s="2">
        <v>46157</v>
      </c>
      <c r="B422" s="3">
        <v>1603409</v>
      </c>
      <c r="C422" s="3" t="s">
        <v>153</v>
      </c>
      <c r="D422" s="4">
        <v>20340289</v>
      </c>
      <c r="E422" s="3" t="s">
        <v>272</v>
      </c>
      <c r="F422" s="4">
        <v>1</v>
      </c>
      <c r="G422" s="5">
        <v>16.5</v>
      </c>
      <c r="H422" s="5">
        <f t="shared" si="6"/>
        <v>16.5</v>
      </c>
    </row>
    <row r="423" customFormat="1" hidden="1" spans="1:8">
      <c r="A423" s="2">
        <v>46157</v>
      </c>
      <c r="B423" s="3">
        <v>1603409</v>
      </c>
      <c r="C423" s="3" t="s">
        <v>153</v>
      </c>
      <c r="D423" s="4">
        <v>20318342</v>
      </c>
      <c r="E423" s="3" t="s">
        <v>304</v>
      </c>
      <c r="F423" s="4">
        <v>1</v>
      </c>
      <c r="G423" s="5">
        <v>16.5</v>
      </c>
      <c r="H423" s="5">
        <f t="shared" si="6"/>
        <v>16.5</v>
      </c>
    </row>
    <row r="424" customFormat="1" hidden="1" spans="1:8">
      <c r="A424" s="2">
        <v>46157</v>
      </c>
      <c r="B424" s="3">
        <v>1603456</v>
      </c>
      <c r="C424" s="3" t="s">
        <v>156</v>
      </c>
      <c r="D424" s="4">
        <v>20402355</v>
      </c>
      <c r="E424" s="3" t="s">
        <v>291</v>
      </c>
      <c r="F424" s="4">
        <v>1</v>
      </c>
      <c r="G424" s="5">
        <v>25</v>
      </c>
      <c r="H424" s="5">
        <f t="shared" si="6"/>
        <v>25</v>
      </c>
    </row>
    <row r="425" customFormat="1" hidden="1" spans="1:8">
      <c r="A425" s="2">
        <v>46157</v>
      </c>
      <c r="B425" s="3">
        <v>1603473</v>
      </c>
      <c r="C425" s="3" t="s">
        <v>150</v>
      </c>
      <c r="D425" s="4">
        <v>20327194</v>
      </c>
      <c r="E425" s="3" t="s">
        <v>265</v>
      </c>
      <c r="F425" s="4">
        <v>1</v>
      </c>
      <c r="G425" s="5">
        <v>27.5</v>
      </c>
      <c r="H425" s="5">
        <f t="shared" si="6"/>
        <v>27.5</v>
      </c>
    </row>
    <row r="426" customFormat="1" hidden="1" spans="1:8">
      <c r="A426" s="2">
        <v>46157</v>
      </c>
      <c r="B426" s="3">
        <v>1603473</v>
      </c>
      <c r="C426" s="3" t="s">
        <v>150</v>
      </c>
      <c r="D426" s="4">
        <v>20312965</v>
      </c>
      <c r="E426" s="3" t="s">
        <v>112</v>
      </c>
      <c r="F426" s="4">
        <v>2</v>
      </c>
      <c r="G426" s="5">
        <v>137.5</v>
      </c>
      <c r="H426" s="5">
        <f t="shared" si="6"/>
        <v>275</v>
      </c>
    </row>
    <row r="427" customFormat="1" hidden="1" spans="1:8">
      <c r="A427" s="2">
        <v>46157</v>
      </c>
      <c r="B427" s="3">
        <v>1603473</v>
      </c>
      <c r="C427" s="3" t="s">
        <v>150</v>
      </c>
      <c r="D427" s="4">
        <v>20312967</v>
      </c>
      <c r="E427" s="3" t="s">
        <v>289</v>
      </c>
      <c r="F427" s="4">
        <v>3</v>
      </c>
      <c r="G427" s="5">
        <v>176</v>
      </c>
      <c r="H427" s="5">
        <f t="shared" si="6"/>
        <v>528</v>
      </c>
    </row>
    <row r="428" customFormat="1" hidden="1" spans="1:8">
      <c r="A428" s="2">
        <v>46157</v>
      </c>
      <c r="B428" s="3">
        <v>1603473</v>
      </c>
      <c r="C428" s="3" t="s">
        <v>154</v>
      </c>
      <c r="D428" s="4">
        <v>20332467</v>
      </c>
      <c r="E428" s="3" t="s">
        <v>264</v>
      </c>
      <c r="F428" s="4">
        <v>1</v>
      </c>
      <c r="G428" s="5">
        <v>22</v>
      </c>
      <c r="H428" s="5">
        <f t="shared" si="6"/>
        <v>22</v>
      </c>
    </row>
    <row r="429" customFormat="1" hidden="1" spans="1:8">
      <c r="A429" s="2">
        <v>46157</v>
      </c>
      <c r="B429" s="3">
        <v>1603473</v>
      </c>
      <c r="C429" s="3" t="s">
        <v>151</v>
      </c>
      <c r="D429" s="4">
        <v>20407037</v>
      </c>
      <c r="E429" s="3" t="s">
        <v>285</v>
      </c>
      <c r="F429" s="4">
        <v>1</v>
      </c>
      <c r="G429" s="5">
        <v>16.5</v>
      </c>
      <c r="H429" s="5">
        <f t="shared" si="6"/>
        <v>16.5</v>
      </c>
    </row>
    <row r="430" customFormat="1" hidden="1" spans="1:8">
      <c r="A430" s="2">
        <v>46157</v>
      </c>
      <c r="B430" s="3">
        <v>1603473</v>
      </c>
      <c r="C430" s="3" t="s">
        <v>152</v>
      </c>
      <c r="D430" s="4">
        <v>20366064</v>
      </c>
      <c r="E430" s="3" t="s">
        <v>195</v>
      </c>
      <c r="F430" s="4">
        <v>1</v>
      </c>
      <c r="G430" s="5">
        <v>71.5</v>
      </c>
      <c r="H430" s="5">
        <f t="shared" si="6"/>
        <v>71.5</v>
      </c>
    </row>
    <row r="431" customFormat="1" hidden="1" spans="1:8">
      <c r="A431" s="2">
        <v>46157</v>
      </c>
      <c r="B431" s="3">
        <v>1603502</v>
      </c>
      <c r="C431" s="3" t="s">
        <v>150</v>
      </c>
      <c r="D431" s="4">
        <v>20380117</v>
      </c>
      <c r="E431" s="3" t="s">
        <v>225</v>
      </c>
      <c r="F431" s="4">
        <v>1</v>
      </c>
      <c r="G431" s="5">
        <v>49.5</v>
      </c>
      <c r="H431" s="5">
        <f t="shared" si="6"/>
        <v>49.5</v>
      </c>
    </row>
    <row r="432" customFormat="1" hidden="1" spans="1:8">
      <c r="A432" s="2">
        <v>46157</v>
      </c>
      <c r="B432" s="3">
        <v>1603502</v>
      </c>
      <c r="C432" s="3" t="s">
        <v>150</v>
      </c>
      <c r="D432" s="4">
        <v>20312966</v>
      </c>
      <c r="E432" s="3" t="s">
        <v>258</v>
      </c>
      <c r="F432" s="4">
        <v>2</v>
      </c>
      <c r="G432" s="5">
        <v>159.5</v>
      </c>
      <c r="H432" s="5">
        <f t="shared" si="6"/>
        <v>319</v>
      </c>
    </row>
    <row r="433" customFormat="1" hidden="1" spans="1:8">
      <c r="A433" s="2">
        <v>46157</v>
      </c>
      <c r="B433" s="3">
        <v>1603502</v>
      </c>
      <c r="C433" s="3" t="s">
        <v>150</v>
      </c>
      <c r="D433" s="4">
        <v>20312967</v>
      </c>
      <c r="E433" s="3" t="s">
        <v>289</v>
      </c>
      <c r="F433" s="4">
        <v>2</v>
      </c>
      <c r="G433" s="5">
        <v>176</v>
      </c>
      <c r="H433" s="5">
        <f t="shared" si="6"/>
        <v>352</v>
      </c>
    </row>
    <row r="434" customFormat="1" hidden="1" spans="1:8">
      <c r="A434" s="2">
        <v>46157</v>
      </c>
      <c r="B434" s="3">
        <v>1603502</v>
      </c>
      <c r="C434" s="3" t="s">
        <v>150</v>
      </c>
      <c r="D434" s="4">
        <v>20392364</v>
      </c>
      <c r="E434" s="3" t="s">
        <v>296</v>
      </c>
      <c r="F434" s="4">
        <v>1</v>
      </c>
      <c r="G434" s="5">
        <v>137.5</v>
      </c>
      <c r="H434" s="5">
        <f t="shared" si="6"/>
        <v>137.5</v>
      </c>
    </row>
    <row r="435" customFormat="1" hidden="1" spans="1:8">
      <c r="A435" s="2">
        <v>46157</v>
      </c>
      <c r="B435" s="3">
        <v>1603509</v>
      </c>
      <c r="C435" s="3" t="s">
        <v>150</v>
      </c>
      <c r="D435" s="4">
        <v>20312966</v>
      </c>
      <c r="E435" s="3" t="s">
        <v>258</v>
      </c>
      <c r="F435" s="4">
        <v>1</v>
      </c>
      <c r="G435" s="5">
        <v>159.5</v>
      </c>
      <c r="H435" s="5">
        <f t="shared" si="6"/>
        <v>159.5</v>
      </c>
    </row>
    <row r="436" customFormat="1" hidden="1" spans="1:8">
      <c r="A436" s="2">
        <v>46157</v>
      </c>
      <c r="B436" s="3">
        <v>1603509</v>
      </c>
      <c r="C436" s="3" t="s">
        <v>150</v>
      </c>
      <c r="D436" s="4">
        <v>20312965</v>
      </c>
      <c r="E436" s="3" t="s">
        <v>112</v>
      </c>
      <c r="F436" s="4">
        <v>2</v>
      </c>
      <c r="G436" s="5">
        <v>137.5</v>
      </c>
      <c r="H436" s="5">
        <f t="shared" si="6"/>
        <v>275</v>
      </c>
    </row>
    <row r="437" customFormat="1" hidden="1" spans="1:8">
      <c r="A437" s="2">
        <v>46157</v>
      </c>
      <c r="B437" s="3">
        <v>1603509</v>
      </c>
      <c r="C437" s="3" t="s">
        <v>150</v>
      </c>
      <c r="D437" s="4">
        <v>20312967</v>
      </c>
      <c r="E437" s="3" t="s">
        <v>289</v>
      </c>
      <c r="F437" s="4">
        <v>1</v>
      </c>
      <c r="G437" s="5">
        <v>176</v>
      </c>
      <c r="H437" s="5">
        <f t="shared" si="6"/>
        <v>176</v>
      </c>
    </row>
    <row r="438" customFormat="1" hidden="1" spans="1:8">
      <c r="A438" s="2">
        <v>46157</v>
      </c>
      <c r="B438" s="3">
        <v>1603509</v>
      </c>
      <c r="C438" s="3" t="s">
        <v>151</v>
      </c>
      <c r="D438" s="4">
        <v>20318363</v>
      </c>
      <c r="E438" s="3" t="s">
        <v>94</v>
      </c>
      <c r="F438" s="4">
        <v>1</v>
      </c>
      <c r="G438" s="5">
        <v>8</v>
      </c>
      <c r="H438" s="5">
        <f t="shared" si="6"/>
        <v>8</v>
      </c>
    </row>
    <row r="439" customFormat="1" hidden="1" spans="1:8">
      <c r="A439" s="2">
        <v>46157</v>
      </c>
      <c r="B439" s="3">
        <v>1603509</v>
      </c>
      <c r="C439" s="3" t="s">
        <v>153</v>
      </c>
      <c r="D439" s="4">
        <v>20343399</v>
      </c>
      <c r="E439" s="3" t="s">
        <v>228</v>
      </c>
      <c r="F439" s="4">
        <v>1</v>
      </c>
      <c r="G439" s="5">
        <v>33</v>
      </c>
      <c r="H439" s="5">
        <f t="shared" si="6"/>
        <v>33</v>
      </c>
    </row>
    <row r="440" customFormat="1" hidden="1" spans="1:8">
      <c r="A440" s="2">
        <v>46157</v>
      </c>
      <c r="B440" s="3">
        <v>1603509</v>
      </c>
      <c r="C440" s="3" t="s">
        <v>153</v>
      </c>
      <c r="D440" s="4">
        <v>20318378</v>
      </c>
      <c r="E440" s="3" t="s">
        <v>231</v>
      </c>
      <c r="F440" s="4">
        <v>1</v>
      </c>
      <c r="G440" s="5">
        <v>16.5</v>
      </c>
      <c r="H440" s="5">
        <f t="shared" si="6"/>
        <v>16.5</v>
      </c>
    </row>
    <row r="441" customFormat="1" hidden="1" spans="1:8">
      <c r="A441" s="2">
        <v>46157</v>
      </c>
      <c r="B441" s="3">
        <v>1603509</v>
      </c>
      <c r="C441" s="3" t="s">
        <v>153</v>
      </c>
      <c r="D441" s="4">
        <v>20374808</v>
      </c>
      <c r="E441" s="3" t="s">
        <v>253</v>
      </c>
      <c r="F441" s="4">
        <v>1</v>
      </c>
      <c r="G441" s="5">
        <v>16.5</v>
      </c>
      <c r="H441" s="5">
        <f t="shared" si="6"/>
        <v>16.5</v>
      </c>
    </row>
    <row r="442" customFormat="1" hidden="1" spans="1:8">
      <c r="A442" s="2">
        <v>46157</v>
      </c>
      <c r="B442" s="3">
        <v>1603509</v>
      </c>
      <c r="C442" s="3" t="s">
        <v>153</v>
      </c>
      <c r="D442" s="4">
        <v>20321250</v>
      </c>
      <c r="E442" s="3" t="s">
        <v>259</v>
      </c>
      <c r="F442" s="4">
        <v>3</v>
      </c>
      <c r="G442" s="5">
        <v>16.5</v>
      </c>
      <c r="H442" s="5">
        <f t="shared" si="6"/>
        <v>49.5</v>
      </c>
    </row>
    <row r="443" customFormat="1" hidden="1" spans="1:8">
      <c r="A443" s="2">
        <v>46157</v>
      </c>
      <c r="B443" s="3">
        <v>1603509</v>
      </c>
      <c r="C443" s="3" t="s">
        <v>153</v>
      </c>
      <c r="D443" s="4">
        <v>20340289</v>
      </c>
      <c r="E443" s="3" t="s">
        <v>272</v>
      </c>
      <c r="F443" s="4">
        <v>2</v>
      </c>
      <c r="G443" s="5">
        <v>16.5</v>
      </c>
      <c r="H443" s="5">
        <f t="shared" si="6"/>
        <v>33</v>
      </c>
    </row>
    <row r="444" customFormat="1" hidden="1" spans="1:8">
      <c r="A444" s="2">
        <v>46157</v>
      </c>
      <c r="B444" s="3">
        <v>1603509</v>
      </c>
      <c r="C444" s="3" t="s">
        <v>153</v>
      </c>
      <c r="D444" s="4">
        <v>20318389</v>
      </c>
      <c r="E444" s="3" t="s">
        <v>302</v>
      </c>
      <c r="F444" s="4">
        <v>1</v>
      </c>
      <c r="G444" s="5">
        <v>16.5</v>
      </c>
      <c r="H444" s="5">
        <f t="shared" si="6"/>
        <v>16.5</v>
      </c>
    </row>
    <row r="445" customFormat="1" hidden="1" spans="1:8">
      <c r="A445" s="2">
        <v>46157</v>
      </c>
      <c r="B445" s="3">
        <v>1603509</v>
      </c>
      <c r="C445" s="3" t="s">
        <v>153</v>
      </c>
      <c r="D445" s="4">
        <v>20318336</v>
      </c>
      <c r="E445" s="3" t="s">
        <v>303</v>
      </c>
      <c r="F445" s="4">
        <v>2</v>
      </c>
      <c r="G445" s="5">
        <v>16.5</v>
      </c>
      <c r="H445" s="5">
        <f t="shared" si="6"/>
        <v>33</v>
      </c>
    </row>
    <row r="446" customFormat="1" hidden="1" spans="1:8">
      <c r="A446" s="2">
        <v>46157</v>
      </c>
      <c r="B446" s="3">
        <v>1603509</v>
      </c>
      <c r="C446" s="3" t="s">
        <v>153</v>
      </c>
      <c r="D446" s="4">
        <v>20318342</v>
      </c>
      <c r="E446" s="3" t="s">
        <v>304</v>
      </c>
      <c r="F446" s="4">
        <v>2</v>
      </c>
      <c r="G446" s="5">
        <v>16.5</v>
      </c>
      <c r="H446" s="5">
        <f t="shared" si="6"/>
        <v>33</v>
      </c>
    </row>
    <row r="447" customFormat="1" hidden="1" spans="1:8">
      <c r="A447" s="2">
        <v>46157</v>
      </c>
      <c r="B447" s="3">
        <v>1603514</v>
      </c>
      <c r="C447" s="3" t="s">
        <v>150</v>
      </c>
      <c r="D447" s="4">
        <v>20321719</v>
      </c>
      <c r="E447" s="3" t="s">
        <v>163</v>
      </c>
      <c r="F447" s="4">
        <v>1</v>
      </c>
      <c r="G447" s="5">
        <v>49.5</v>
      </c>
      <c r="H447" s="5">
        <f t="shared" si="6"/>
        <v>49.5</v>
      </c>
    </row>
    <row r="448" customFormat="1" hidden="1" spans="1:8">
      <c r="A448" s="2">
        <v>46157</v>
      </c>
      <c r="B448" s="3">
        <v>1603514</v>
      </c>
      <c r="C448" s="3" t="s">
        <v>150</v>
      </c>
      <c r="D448" s="4">
        <v>20312966</v>
      </c>
      <c r="E448" s="3" t="s">
        <v>258</v>
      </c>
      <c r="F448" s="4">
        <v>2</v>
      </c>
      <c r="G448" s="5">
        <v>159.5</v>
      </c>
      <c r="H448" s="5">
        <f t="shared" si="6"/>
        <v>319</v>
      </c>
    </row>
    <row r="449" customFormat="1" hidden="1" spans="1:8">
      <c r="A449" s="2">
        <v>46157</v>
      </c>
      <c r="B449" s="3">
        <v>1603514</v>
      </c>
      <c r="C449" s="3" t="s">
        <v>150</v>
      </c>
      <c r="D449" s="4">
        <v>20312965</v>
      </c>
      <c r="E449" s="3" t="s">
        <v>112</v>
      </c>
      <c r="F449" s="4">
        <v>4</v>
      </c>
      <c r="G449" s="5">
        <v>137.5</v>
      </c>
      <c r="H449" s="5">
        <f t="shared" si="6"/>
        <v>550</v>
      </c>
    </row>
    <row r="450" customFormat="1" hidden="1" spans="1:8">
      <c r="A450" s="2">
        <v>46157</v>
      </c>
      <c r="B450" s="3">
        <v>1603514</v>
      </c>
      <c r="C450" s="3" t="s">
        <v>150</v>
      </c>
      <c r="D450" s="4">
        <v>20312967</v>
      </c>
      <c r="E450" s="3" t="s">
        <v>289</v>
      </c>
      <c r="F450" s="4">
        <v>8</v>
      </c>
      <c r="G450" s="5">
        <v>176</v>
      </c>
      <c r="H450" s="5">
        <f t="shared" ref="H450:H513" si="7">G450*F450</f>
        <v>1408</v>
      </c>
    </row>
    <row r="451" customFormat="1" hidden="1" spans="1:8">
      <c r="A451" s="2">
        <v>46157</v>
      </c>
      <c r="B451" s="3">
        <v>1603514</v>
      </c>
      <c r="C451" s="3" t="s">
        <v>154</v>
      </c>
      <c r="D451" s="4">
        <v>20414953</v>
      </c>
      <c r="E451" s="3" t="s">
        <v>208</v>
      </c>
      <c r="F451" s="4">
        <v>1</v>
      </c>
      <c r="G451" s="5">
        <v>49.5</v>
      </c>
      <c r="H451" s="5">
        <f t="shared" si="7"/>
        <v>49.5</v>
      </c>
    </row>
    <row r="452" customFormat="1" hidden="1" spans="1:8">
      <c r="A452" s="2">
        <v>46157</v>
      </c>
      <c r="B452" s="3">
        <v>1603514</v>
      </c>
      <c r="C452" s="3" t="s">
        <v>151</v>
      </c>
      <c r="D452" s="4">
        <v>20318363</v>
      </c>
      <c r="E452" s="3" t="s">
        <v>94</v>
      </c>
      <c r="F452" s="4">
        <v>1</v>
      </c>
      <c r="G452" s="5">
        <v>8</v>
      </c>
      <c r="H452" s="5">
        <f t="shared" si="7"/>
        <v>8</v>
      </c>
    </row>
    <row r="453" customFormat="1" hidden="1" spans="1:8">
      <c r="A453" s="2">
        <v>46157</v>
      </c>
      <c r="B453" s="3">
        <v>1603514</v>
      </c>
      <c r="C453" s="3" t="s">
        <v>156</v>
      </c>
      <c r="D453" s="4">
        <v>20322235</v>
      </c>
      <c r="E453" s="3" t="s">
        <v>111</v>
      </c>
      <c r="F453" s="4">
        <v>11</v>
      </c>
      <c r="G453" s="5">
        <v>2.5</v>
      </c>
      <c r="H453" s="5">
        <f t="shared" si="7"/>
        <v>27.5</v>
      </c>
    </row>
    <row r="454" customFormat="1" hidden="1" spans="1:8">
      <c r="A454" s="2">
        <v>46157</v>
      </c>
      <c r="B454" s="3">
        <v>1603514</v>
      </c>
      <c r="C454" s="3" t="s">
        <v>156</v>
      </c>
      <c r="D454" s="4">
        <v>20322234</v>
      </c>
      <c r="E454" s="3" t="s">
        <v>274</v>
      </c>
      <c r="F454" s="4">
        <v>5</v>
      </c>
      <c r="G454" s="5">
        <v>2.5</v>
      </c>
      <c r="H454" s="5">
        <f t="shared" si="7"/>
        <v>12.5</v>
      </c>
    </row>
    <row r="455" customFormat="1" hidden="1" spans="1:8">
      <c r="A455" s="2">
        <v>46157</v>
      </c>
      <c r="B455" s="3">
        <v>1603514</v>
      </c>
      <c r="C455" s="3" t="s">
        <v>156</v>
      </c>
      <c r="D455" s="4">
        <v>20330757</v>
      </c>
      <c r="E455" s="3" t="s">
        <v>288</v>
      </c>
      <c r="F455" s="4">
        <v>3</v>
      </c>
      <c r="G455" s="5">
        <v>35</v>
      </c>
      <c r="H455" s="5">
        <f t="shared" si="7"/>
        <v>105</v>
      </c>
    </row>
    <row r="456" customFormat="1" hidden="1" spans="1:8">
      <c r="A456" s="2">
        <v>46157</v>
      </c>
      <c r="B456" s="3">
        <v>1603514</v>
      </c>
      <c r="C456" s="3" t="s">
        <v>152</v>
      </c>
      <c r="D456" s="4">
        <v>20340286</v>
      </c>
      <c r="E456" s="3" t="s">
        <v>169</v>
      </c>
      <c r="F456" s="4">
        <v>1</v>
      </c>
      <c r="G456" s="5">
        <v>55</v>
      </c>
      <c r="H456" s="5">
        <f t="shared" si="7"/>
        <v>55</v>
      </c>
    </row>
    <row r="457" customFormat="1" hidden="1" spans="1:8">
      <c r="A457" s="2">
        <v>46157</v>
      </c>
      <c r="B457" s="3">
        <v>1603514</v>
      </c>
      <c r="C457" s="3" t="s">
        <v>153</v>
      </c>
      <c r="D457" s="4">
        <v>20318334</v>
      </c>
      <c r="E457" s="3" t="s">
        <v>186</v>
      </c>
      <c r="F457" s="4">
        <v>2</v>
      </c>
      <c r="G457" s="5">
        <v>16.5</v>
      </c>
      <c r="H457" s="5">
        <f t="shared" si="7"/>
        <v>33</v>
      </c>
    </row>
    <row r="458" customFormat="1" hidden="1" spans="1:8">
      <c r="A458" s="2">
        <v>46157</v>
      </c>
      <c r="B458" s="3">
        <v>1603514</v>
      </c>
      <c r="C458" s="3" t="s">
        <v>153</v>
      </c>
      <c r="D458" s="4">
        <v>20318380</v>
      </c>
      <c r="E458" s="3" t="s">
        <v>232</v>
      </c>
      <c r="F458" s="4">
        <v>1</v>
      </c>
      <c r="G458" s="5">
        <v>16.5</v>
      </c>
      <c r="H458" s="5">
        <f t="shared" si="7"/>
        <v>16.5</v>
      </c>
    </row>
    <row r="459" customFormat="1" hidden="1" spans="1:8">
      <c r="A459" s="2">
        <v>46157</v>
      </c>
      <c r="B459" s="3">
        <v>1603514</v>
      </c>
      <c r="C459" s="3" t="s">
        <v>153</v>
      </c>
      <c r="D459" s="4">
        <v>20340289</v>
      </c>
      <c r="E459" s="3" t="s">
        <v>272</v>
      </c>
      <c r="F459" s="4">
        <v>1</v>
      </c>
      <c r="G459" s="5">
        <v>16.5</v>
      </c>
      <c r="H459" s="5">
        <f t="shared" si="7"/>
        <v>16.5</v>
      </c>
    </row>
    <row r="460" customFormat="1" hidden="1" spans="1:8">
      <c r="A460" s="2">
        <v>46157</v>
      </c>
      <c r="B460" s="3">
        <v>1603514</v>
      </c>
      <c r="C460" s="3" t="s">
        <v>153</v>
      </c>
      <c r="D460" s="4">
        <v>20407575</v>
      </c>
      <c r="E460" s="3" t="s">
        <v>284</v>
      </c>
      <c r="F460" s="4">
        <v>1</v>
      </c>
      <c r="G460" s="5">
        <v>16.5</v>
      </c>
      <c r="H460" s="5">
        <f t="shared" si="7"/>
        <v>16.5</v>
      </c>
    </row>
    <row r="461" customFormat="1" hidden="1" spans="1:8">
      <c r="A461" s="2">
        <v>46157</v>
      </c>
      <c r="B461" s="3">
        <v>1603514</v>
      </c>
      <c r="C461" s="3" t="s">
        <v>153</v>
      </c>
      <c r="D461" s="4">
        <v>20318336</v>
      </c>
      <c r="E461" s="3" t="s">
        <v>303</v>
      </c>
      <c r="F461" s="4">
        <v>3</v>
      </c>
      <c r="G461" s="5">
        <v>16.5</v>
      </c>
      <c r="H461" s="5">
        <f t="shared" si="7"/>
        <v>49.5</v>
      </c>
    </row>
    <row r="462" customFormat="1" hidden="1" spans="1:8">
      <c r="A462" s="2">
        <v>46157</v>
      </c>
      <c r="B462" s="3">
        <v>1603514</v>
      </c>
      <c r="C462" s="3" t="s">
        <v>153</v>
      </c>
      <c r="D462" s="4">
        <v>20318342</v>
      </c>
      <c r="E462" s="3" t="s">
        <v>304</v>
      </c>
      <c r="F462" s="4">
        <v>1</v>
      </c>
      <c r="G462" s="5">
        <v>16.5</v>
      </c>
      <c r="H462" s="5">
        <f t="shared" si="7"/>
        <v>16.5</v>
      </c>
    </row>
    <row r="463" customFormat="1" hidden="1" spans="1:8">
      <c r="A463" s="2">
        <v>46157</v>
      </c>
      <c r="B463" s="3">
        <v>1603568</v>
      </c>
      <c r="C463" s="3" t="s">
        <v>150</v>
      </c>
      <c r="D463" s="4">
        <v>20321476</v>
      </c>
      <c r="E463" s="3" t="s">
        <v>161</v>
      </c>
      <c r="F463" s="4">
        <v>1</v>
      </c>
      <c r="G463" s="5">
        <v>55</v>
      </c>
      <c r="H463" s="5">
        <f t="shared" si="7"/>
        <v>55</v>
      </c>
    </row>
    <row r="464" customFormat="1" hidden="1" spans="1:8">
      <c r="A464" s="2">
        <v>46157</v>
      </c>
      <c r="B464" s="3">
        <v>1603568</v>
      </c>
      <c r="C464" s="3" t="s">
        <v>150</v>
      </c>
      <c r="D464" s="4">
        <v>20312966</v>
      </c>
      <c r="E464" s="3" t="s">
        <v>258</v>
      </c>
      <c r="F464" s="4">
        <v>4</v>
      </c>
      <c r="G464" s="5">
        <v>159.5</v>
      </c>
      <c r="H464" s="5">
        <f t="shared" si="7"/>
        <v>638</v>
      </c>
    </row>
    <row r="465" customFormat="1" hidden="1" spans="1:8">
      <c r="A465" s="2">
        <v>46157</v>
      </c>
      <c r="B465" s="3">
        <v>1603568</v>
      </c>
      <c r="C465" s="3" t="s">
        <v>150</v>
      </c>
      <c r="D465" s="4">
        <v>20312965</v>
      </c>
      <c r="E465" s="3" t="s">
        <v>112</v>
      </c>
      <c r="F465" s="4">
        <v>2</v>
      </c>
      <c r="G465" s="5">
        <v>137.5</v>
      </c>
      <c r="H465" s="5">
        <f t="shared" si="7"/>
        <v>275</v>
      </c>
    </row>
    <row r="466" customFormat="1" hidden="1" spans="1:8">
      <c r="A466" s="2">
        <v>46157</v>
      </c>
      <c r="B466" s="3">
        <v>1603568</v>
      </c>
      <c r="C466" s="3" t="s">
        <v>150</v>
      </c>
      <c r="D466" s="4">
        <v>20312967</v>
      </c>
      <c r="E466" s="3" t="s">
        <v>289</v>
      </c>
      <c r="F466" s="4">
        <v>3</v>
      </c>
      <c r="G466" s="5">
        <v>176</v>
      </c>
      <c r="H466" s="5">
        <f t="shared" si="7"/>
        <v>528</v>
      </c>
    </row>
    <row r="467" customFormat="1" hidden="1" spans="1:8">
      <c r="A467" s="2">
        <v>46157</v>
      </c>
      <c r="B467" s="3">
        <v>1603568</v>
      </c>
      <c r="C467" s="3" t="s">
        <v>150</v>
      </c>
      <c r="D467" s="4">
        <v>20321251</v>
      </c>
      <c r="E467" s="3" t="s">
        <v>311</v>
      </c>
      <c r="F467" s="4">
        <v>1</v>
      </c>
      <c r="G467" s="5">
        <v>187</v>
      </c>
      <c r="H467" s="5">
        <f t="shared" si="7"/>
        <v>187</v>
      </c>
    </row>
    <row r="468" customFormat="1" hidden="1" spans="1:8">
      <c r="A468" s="2">
        <v>46157</v>
      </c>
      <c r="B468" s="3">
        <v>1603568</v>
      </c>
      <c r="C468" s="3" t="s">
        <v>156</v>
      </c>
      <c r="D468" s="4">
        <v>20330757</v>
      </c>
      <c r="E468" s="3" t="s">
        <v>288</v>
      </c>
      <c r="F468" s="4">
        <v>2</v>
      </c>
      <c r="G468" s="5">
        <v>35</v>
      </c>
      <c r="H468" s="5">
        <f t="shared" si="7"/>
        <v>70</v>
      </c>
    </row>
    <row r="469" customFormat="1" hidden="1" spans="1:8">
      <c r="A469" s="2">
        <v>46157</v>
      </c>
      <c r="B469" s="3">
        <v>1603568</v>
      </c>
      <c r="C469" s="3" t="s">
        <v>152</v>
      </c>
      <c r="D469" s="4">
        <v>20340286</v>
      </c>
      <c r="E469" s="3" t="s">
        <v>169</v>
      </c>
      <c r="F469" s="4">
        <v>1</v>
      </c>
      <c r="G469" s="5">
        <v>55</v>
      </c>
      <c r="H469" s="5">
        <f t="shared" si="7"/>
        <v>55</v>
      </c>
    </row>
    <row r="470" customFormat="1" hidden="1" spans="1:8">
      <c r="A470" s="2">
        <v>46157</v>
      </c>
      <c r="B470" s="3">
        <v>1603568</v>
      </c>
      <c r="C470" s="3" t="s">
        <v>153</v>
      </c>
      <c r="D470" s="4">
        <v>20321257</v>
      </c>
      <c r="E470" s="3" t="s">
        <v>68</v>
      </c>
      <c r="F470" s="4">
        <v>1</v>
      </c>
      <c r="G470" s="5">
        <v>16.5</v>
      </c>
      <c r="H470" s="5">
        <f t="shared" si="7"/>
        <v>16.5</v>
      </c>
    </row>
    <row r="471" customFormat="1" hidden="1" spans="1:8">
      <c r="A471" s="2">
        <v>46157</v>
      </c>
      <c r="B471" s="3">
        <v>1603568</v>
      </c>
      <c r="C471" s="3" t="s">
        <v>153</v>
      </c>
      <c r="D471" s="4">
        <v>20318377</v>
      </c>
      <c r="E471" s="3" t="s">
        <v>176</v>
      </c>
      <c r="F471" s="4">
        <v>1</v>
      </c>
      <c r="G471" s="5">
        <v>16.5</v>
      </c>
      <c r="H471" s="5">
        <f t="shared" si="7"/>
        <v>16.5</v>
      </c>
    </row>
    <row r="472" customFormat="1" hidden="1" spans="1:8">
      <c r="A472" s="2">
        <v>46157</v>
      </c>
      <c r="B472" s="3">
        <v>1603568</v>
      </c>
      <c r="C472" s="3" t="s">
        <v>153</v>
      </c>
      <c r="D472" s="4">
        <v>20343399</v>
      </c>
      <c r="E472" s="3" t="s">
        <v>228</v>
      </c>
      <c r="F472" s="4">
        <v>1</v>
      </c>
      <c r="G472" s="5">
        <v>33</v>
      </c>
      <c r="H472" s="5">
        <f t="shared" si="7"/>
        <v>33</v>
      </c>
    </row>
    <row r="473" customFormat="1" hidden="1" spans="1:8">
      <c r="A473" s="2">
        <v>46157</v>
      </c>
      <c r="B473" s="3">
        <v>1603568</v>
      </c>
      <c r="C473" s="3" t="s">
        <v>153</v>
      </c>
      <c r="D473" s="4">
        <v>20318380</v>
      </c>
      <c r="E473" s="3" t="s">
        <v>232</v>
      </c>
      <c r="F473" s="4">
        <v>1</v>
      </c>
      <c r="G473" s="5">
        <v>16.5</v>
      </c>
      <c r="H473" s="5">
        <f t="shared" si="7"/>
        <v>16.5</v>
      </c>
    </row>
    <row r="474" customFormat="1" hidden="1" spans="1:8">
      <c r="A474" s="2">
        <v>46157</v>
      </c>
      <c r="B474" s="3">
        <v>1603568</v>
      </c>
      <c r="C474" s="3" t="s">
        <v>153</v>
      </c>
      <c r="D474" s="4">
        <v>20321604</v>
      </c>
      <c r="E474" s="3" t="s">
        <v>233</v>
      </c>
      <c r="F474" s="4">
        <v>1</v>
      </c>
      <c r="G474" s="5">
        <v>16.5</v>
      </c>
      <c r="H474" s="5">
        <f t="shared" si="7"/>
        <v>16.5</v>
      </c>
    </row>
    <row r="475" customFormat="1" hidden="1" spans="1:8">
      <c r="A475" s="2">
        <v>46157</v>
      </c>
      <c r="B475" s="3">
        <v>1603568</v>
      </c>
      <c r="C475" s="3" t="s">
        <v>153</v>
      </c>
      <c r="D475" s="4">
        <v>20387214</v>
      </c>
      <c r="E475" s="3" t="s">
        <v>254</v>
      </c>
      <c r="F475" s="4">
        <v>1</v>
      </c>
      <c r="G475" s="5">
        <v>16.5</v>
      </c>
      <c r="H475" s="5">
        <f t="shared" si="7"/>
        <v>16.5</v>
      </c>
    </row>
    <row r="476" customFormat="1" hidden="1" spans="1:8">
      <c r="A476" s="2">
        <v>46157</v>
      </c>
      <c r="B476" s="3">
        <v>1603568</v>
      </c>
      <c r="C476" s="3" t="s">
        <v>153</v>
      </c>
      <c r="D476" s="4">
        <v>20340289</v>
      </c>
      <c r="E476" s="3" t="s">
        <v>272</v>
      </c>
      <c r="F476" s="4">
        <v>1</v>
      </c>
      <c r="G476" s="5">
        <v>16.5</v>
      </c>
      <c r="H476" s="5">
        <f t="shared" si="7"/>
        <v>16.5</v>
      </c>
    </row>
    <row r="477" customFormat="1" hidden="1" spans="1:8">
      <c r="A477" s="2">
        <v>46157</v>
      </c>
      <c r="B477" s="3">
        <v>1603568</v>
      </c>
      <c r="C477" s="3" t="s">
        <v>153</v>
      </c>
      <c r="D477" s="4">
        <v>20318393</v>
      </c>
      <c r="E477" s="3" t="s">
        <v>140</v>
      </c>
      <c r="F477" s="4">
        <v>1</v>
      </c>
      <c r="G477" s="5">
        <v>16.5</v>
      </c>
      <c r="H477" s="5">
        <f t="shared" si="7"/>
        <v>16.5</v>
      </c>
    </row>
    <row r="478" customFormat="1" hidden="1" spans="1:8">
      <c r="A478" s="2">
        <v>46158</v>
      </c>
      <c r="B478" s="3">
        <v>1603773</v>
      </c>
      <c r="C478" s="3" t="s">
        <v>150</v>
      </c>
      <c r="D478" s="4">
        <v>20312982</v>
      </c>
      <c r="E478" s="3" t="s">
        <v>174</v>
      </c>
      <c r="F478" s="4">
        <v>1</v>
      </c>
      <c r="G478" s="5">
        <v>214.5</v>
      </c>
      <c r="H478" s="5">
        <f t="shared" si="7"/>
        <v>214.5</v>
      </c>
    </row>
    <row r="479" customFormat="1" hidden="1" spans="1:8">
      <c r="A479" s="2">
        <v>46158</v>
      </c>
      <c r="B479" s="3">
        <v>1603773</v>
      </c>
      <c r="C479" s="3" t="s">
        <v>150</v>
      </c>
      <c r="D479" s="4">
        <v>20321918</v>
      </c>
      <c r="E479" s="3" t="s">
        <v>175</v>
      </c>
      <c r="F479" s="4">
        <v>1</v>
      </c>
      <c r="G479" s="5">
        <v>49.5</v>
      </c>
      <c r="H479" s="5">
        <f t="shared" si="7"/>
        <v>49.5</v>
      </c>
    </row>
    <row r="480" customFormat="1" hidden="1" spans="1:8">
      <c r="A480" s="2">
        <v>46158</v>
      </c>
      <c r="B480" s="3">
        <v>1603773</v>
      </c>
      <c r="C480" s="3" t="s">
        <v>150</v>
      </c>
      <c r="D480" s="4">
        <v>20312966</v>
      </c>
      <c r="E480" s="3" t="s">
        <v>258</v>
      </c>
      <c r="F480" s="4">
        <v>10</v>
      </c>
      <c r="G480" s="5">
        <v>159.5</v>
      </c>
      <c r="H480" s="5">
        <f t="shared" si="7"/>
        <v>1595</v>
      </c>
    </row>
    <row r="481" customFormat="1" hidden="1" spans="1:8">
      <c r="A481" s="2">
        <v>46158</v>
      </c>
      <c r="B481" s="3">
        <v>1603773</v>
      </c>
      <c r="C481" s="3" t="s">
        <v>150</v>
      </c>
      <c r="D481" s="4">
        <v>20312965</v>
      </c>
      <c r="E481" s="3" t="s">
        <v>112</v>
      </c>
      <c r="F481" s="4">
        <v>5</v>
      </c>
      <c r="G481" s="5">
        <v>137.5</v>
      </c>
      <c r="H481" s="5">
        <f t="shared" si="7"/>
        <v>687.5</v>
      </c>
    </row>
    <row r="482" customFormat="1" hidden="1" spans="1:8">
      <c r="A482" s="2">
        <v>46158</v>
      </c>
      <c r="B482" s="3">
        <v>1603773</v>
      </c>
      <c r="C482" s="3" t="s">
        <v>150</v>
      </c>
      <c r="D482" s="4">
        <v>20312967</v>
      </c>
      <c r="E482" s="3" t="s">
        <v>289</v>
      </c>
      <c r="F482" s="4">
        <v>8</v>
      </c>
      <c r="G482" s="5">
        <v>176</v>
      </c>
      <c r="H482" s="5">
        <f t="shared" si="7"/>
        <v>1408</v>
      </c>
    </row>
    <row r="483" customFormat="1" hidden="1" spans="1:8">
      <c r="A483" s="2">
        <v>46158</v>
      </c>
      <c r="B483" s="3">
        <v>1603773</v>
      </c>
      <c r="C483" s="3" t="s">
        <v>150</v>
      </c>
      <c r="D483" s="4">
        <v>20424417</v>
      </c>
      <c r="E483" s="3" t="s">
        <v>312</v>
      </c>
      <c r="F483" s="4">
        <v>2</v>
      </c>
      <c r="G483" s="5">
        <v>66</v>
      </c>
      <c r="H483" s="5">
        <f t="shared" si="7"/>
        <v>132</v>
      </c>
    </row>
    <row r="484" customFormat="1" hidden="1" spans="1:8">
      <c r="A484" s="2">
        <v>46158</v>
      </c>
      <c r="B484" s="3">
        <v>1603773</v>
      </c>
      <c r="C484" s="3" t="s">
        <v>151</v>
      </c>
      <c r="D484" s="4">
        <v>20407037</v>
      </c>
      <c r="E484" s="3" t="s">
        <v>285</v>
      </c>
      <c r="F484" s="4">
        <v>1</v>
      </c>
      <c r="G484" s="5">
        <v>16.5</v>
      </c>
      <c r="H484" s="5">
        <f t="shared" si="7"/>
        <v>16.5</v>
      </c>
    </row>
    <row r="485" customFormat="1" hidden="1" spans="1:8">
      <c r="A485" s="2">
        <v>46158</v>
      </c>
      <c r="B485" s="3">
        <v>1603773</v>
      </c>
      <c r="C485" s="3" t="s">
        <v>156</v>
      </c>
      <c r="D485" s="4">
        <v>20322304</v>
      </c>
      <c r="E485" s="3" t="s">
        <v>275</v>
      </c>
      <c r="F485" s="4">
        <v>7</v>
      </c>
      <c r="G485" s="5">
        <v>25</v>
      </c>
      <c r="H485" s="5">
        <f t="shared" si="7"/>
        <v>175</v>
      </c>
    </row>
    <row r="486" customFormat="1" hidden="1" spans="1:8">
      <c r="A486" s="2">
        <v>46158</v>
      </c>
      <c r="B486" s="3">
        <v>1603773</v>
      </c>
      <c r="C486" s="3" t="s">
        <v>153</v>
      </c>
      <c r="D486" s="4">
        <v>20321257</v>
      </c>
      <c r="E486" s="3" t="s">
        <v>68</v>
      </c>
      <c r="F486" s="4">
        <v>13</v>
      </c>
      <c r="G486" s="5">
        <v>16.5</v>
      </c>
      <c r="H486" s="5">
        <f t="shared" si="7"/>
        <v>214.5</v>
      </c>
    </row>
    <row r="487" customFormat="1" hidden="1" spans="1:8">
      <c r="A487" s="2">
        <v>46158</v>
      </c>
      <c r="B487" s="3">
        <v>1603773</v>
      </c>
      <c r="C487" s="3" t="s">
        <v>153</v>
      </c>
      <c r="D487" s="4">
        <v>20363041</v>
      </c>
      <c r="E487" s="3" t="s">
        <v>187</v>
      </c>
      <c r="F487" s="4">
        <v>1</v>
      </c>
      <c r="G487" s="5">
        <v>16.5</v>
      </c>
      <c r="H487" s="5">
        <f t="shared" si="7"/>
        <v>16.5</v>
      </c>
    </row>
    <row r="488" customFormat="1" hidden="1" spans="1:8">
      <c r="A488" s="2">
        <v>46158</v>
      </c>
      <c r="B488" s="3">
        <v>1603773</v>
      </c>
      <c r="C488" s="3" t="s">
        <v>153</v>
      </c>
      <c r="D488" s="4">
        <v>20318375</v>
      </c>
      <c r="E488" s="3" t="s">
        <v>81</v>
      </c>
      <c r="F488" s="4">
        <v>1</v>
      </c>
      <c r="G488" s="5">
        <v>16.5</v>
      </c>
      <c r="H488" s="5">
        <f t="shared" si="7"/>
        <v>16.5</v>
      </c>
    </row>
    <row r="489" customFormat="1" hidden="1" spans="1:8">
      <c r="A489" s="2">
        <v>46158</v>
      </c>
      <c r="B489" s="3">
        <v>1603773</v>
      </c>
      <c r="C489" s="3" t="s">
        <v>153</v>
      </c>
      <c r="D489" s="4">
        <v>20318359</v>
      </c>
      <c r="E489" s="3" t="s">
        <v>207</v>
      </c>
      <c r="F489" s="4">
        <v>1</v>
      </c>
      <c r="G489" s="5">
        <v>16.5</v>
      </c>
      <c r="H489" s="5">
        <f t="shared" si="7"/>
        <v>16.5</v>
      </c>
    </row>
    <row r="490" customFormat="1" hidden="1" spans="1:8">
      <c r="A490" s="2">
        <v>46158</v>
      </c>
      <c r="B490" s="3">
        <v>1603773</v>
      </c>
      <c r="C490" s="3" t="s">
        <v>153</v>
      </c>
      <c r="D490" s="4">
        <v>20343399</v>
      </c>
      <c r="E490" s="3" t="s">
        <v>228</v>
      </c>
      <c r="F490" s="4">
        <v>2</v>
      </c>
      <c r="G490" s="5">
        <v>33</v>
      </c>
      <c r="H490" s="5">
        <f t="shared" si="7"/>
        <v>66</v>
      </c>
    </row>
    <row r="491" customFormat="1" hidden="1" spans="1:8">
      <c r="A491" s="2">
        <v>46158</v>
      </c>
      <c r="B491" s="3">
        <v>1603773</v>
      </c>
      <c r="C491" s="3" t="s">
        <v>153</v>
      </c>
      <c r="D491" s="4">
        <v>20318378</v>
      </c>
      <c r="E491" s="3" t="s">
        <v>231</v>
      </c>
      <c r="F491" s="4">
        <v>1</v>
      </c>
      <c r="G491" s="5">
        <v>16.5</v>
      </c>
      <c r="H491" s="5">
        <f t="shared" si="7"/>
        <v>16.5</v>
      </c>
    </row>
    <row r="492" customFormat="1" hidden="1" spans="1:8">
      <c r="A492" s="2">
        <v>46158</v>
      </c>
      <c r="B492" s="3">
        <v>1603773</v>
      </c>
      <c r="C492" s="3" t="s">
        <v>153</v>
      </c>
      <c r="D492" s="4">
        <v>20318380</v>
      </c>
      <c r="E492" s="3" t="s">
        <v>232</v>
      </c>
      <c r="F492" s="4">
        <v>1</v>
      </c>
      <c r="G492" s="5">
        <v>16.5</v>
      </c>
      <c r="H492" s="5">
        <f t="shared" si="7"/>
        <v>16.5</v>
      </c>
    </row>
    <row r="493" customFormat="1" hidden="1" spans="1:8">
      <c r="A493" s="2">
        <v>46158</v>
      </c>
      <c r="B493" s="3">
        <v>1603773</v>
      </c>
      <c r="C493" s="3" t="s">
        <v>153</v>
      </c>
      <c r="D493" s="4">
        <v>20318340</v>
      </c>
      <c r="E493" s="3" t="s">
        <v>240</v>
      </c>
      <c r="F493" s="4">
        <v>2</v>
      </c>
      <c r="G493" s="5">
        <v>16.5</v>
      </c>
      <c r="H493" s="5">
        <f t="shared" si="7"/>
        <v>33</v>
      </c>
    </row>
    <row r="494" customFormat="1" hidden="1" spans="1:8">
      <c r="A494" s="2">
        <v>46158</v>
      </c>
      <c r="B494" s="3">
        <v>1603773</v>
      </c>
      <c r="C494" s="3" t="s">
        <v>153</v>
      </c>
      <c r="D494" s="4">
        <v>20340289</v>
      </c>
      <c r="E494" s="3" t="s">
        <v>272</v>
      </c>
      <c r="F494" s="4">
        <v>3</v>
      </c>
      <c r="G494" s="5">
        <v>16.5</v>
      </c>
      <c r="H494" s="5">
        <f t="shared" si="7"/>
        <v>49.5</v>
      </c>
    </row>
    <row r="495" customFormat="1" hidden="1" spans="1:8">
      <c r="A495" s="2">
        <v>46158</v>
      </c>
      <c r="B495" s="3">
        <v>1603773</v>
      </c>
      <c r="C495" s="3" t="s">
        <v>153</v>
      </c>
      <c r="D495" s="4">
        <v>20407575</v>
      </c>
      <c r="E495" s="3" t="s">
        <v>284</v>
      </c>
      <c r="F495" s="4">
        <v>1</v>
      </c>
      <c r="G495" s="5">
        <v>16.5</v>
      </c>
      <c r="H495" s="5">
        <f t="shared" si="7"/>
        <v>16.5</v>
      </c>
    </row>
    <row r="496" customFormat="1" hidden="1" spans="1:8">
      <c r="A496" s="2">
        <v>46158</v>
      </c>
      <c r="B496" s="3">
        <v>1603773</v>
      </c>
      <c r="C496" s="3" t="s">
        <v>153</v>
      </c>
      <c r="D496" s="4">
        <v>20318336</v>
      </c>
      <c r="E496" s="3" t="s">
        <v>303</v>
      </c>
      <c r="F496" s="4">
        <v>3</v>
      </c>
      <c r="G496" s="5">
        <v>16.5</v>
      </c>
      <c r="H496" s="5">
        <f t="shared" si="7"/>
        <v>49.5</v>
      </c>
    </row>
    <row r="497" customFormat="1" hidden="1" spans="1:8">
      <c r="A497" s="2">
        <v>46158</v>
      </c>
      <c r="B497" s="3">
        <v>1603773</v>
      </c>
      <c r="C497" s="3" t="s">
        <v>153</v>
      </c>
      <c r="D497" s="4">
        <v>20318393</v>
      </c>
      <c r="E497" s="3" t="s">
        <v>140</v>
      </c>
      <c r="F497" s="4">
        <v>1</v>
      </c>
      <c r="G497" s="5">
        <v>16.5</v>
      </c>
      <c r="H497" s="5">
        <f t="shared" si="7"/>
        <v>16.5</v>
      </c>
    </row>
    <row r="498" customFormat="1" spans="1:8">
      <c r="A498" s="2">
        <v>46159</v>
      </c>
      <c r="B498" s="3">
        <v>1603855</v>
      </c>
      <c r="C498" s="3" t="s">
        <v>150</v>
      </c>
      <c r="D498" s="4">
        <v>20414050</v>
      </c>
      <c r="E498" s="3" t="s">
        <v>298</v>
      </c>
      <c r="F498" s="4">
        <v>1</v>
      </c>
      <c r="G498" s="5">
        <v>99</v>
      </c>
      <c r="H498" s="5">
        <f t="shared" si="7"/>
        <v>99</v>
      </c>
    </row>
    <row r="499" customFormat="1" hidden="1" spans="1:8">
      <c r="A499" s="2">
        <v>46159</v>
      </c>
      <c r="B499" s="3">
        <v>1603855</v>
      </c>
      <c r="C499" s="3" t="s">
        <v>156</v>
      </c>
      <c r="D499" s="4">
        <v>20322235</v>
      </c>
      <c r="E499" s="3" t="s">
        <v>111</v>
      </c>
      <c r="F499" s="4">
        <v>7</v>
      </c>
      <c r="G499" s="5">
        <v>2.5</v>
      </c>
      <c r="H499" s="5">
        <f t="shared" si="7"/>
        <v>17.5</v>
      </c>
    </row>
    <row r="500" customFormat="1" hidden="1" spans="1:8">
      <c r="A500" s="2">
        <v>46159</v>
      </c>
      <c r="B500" s="3">
        <v>1603855</v>
      </c>
      <c r="C500" s="3" t="s">
        <v>156</v>
      </c>
      <c r="D500" s="4">
        <v>20322243</v>
      </c>
      <c r="E500" s="3" t="s">
        <v>117</v>
      </c>
      <c r="F500" s="4">
        <v>3</v>
      </c>
      <c r="G500" s="5">
        <v>30</v>
      </c>
      <c r="H500" s="5">
        <f t="shared" si="7"/>
        <v>90</v>
      </c>
    </row>
    <row r="501" customFormat="1" hidden="1" spans="1:8">
      <c r="A501" s="2">
        <v>46159</v>
      </c>
      <c r="B501" s="3">
        <v>1603855</v>
      </c>
      <c r="C501" s="3" t="s">
        <v>156</v>
      </c>
      <c r="D501" s="4">
        <v>20322234</v>
      </c>
      <c r="E501" s="3" t="s">
        <v>274</v>
      </c>
      <c r="F501" s="4">
        <v>5</v>
      </c>
      <c r="G501" s="5">
        <v>2.5</v>
      </c>
      <c r="H501" s="5">
        <f t="shared" si="7"/>
        <v>12.5</v>
      </c>
    </row>
    <row r="502" customFormat="1" hidden="1" spans="1:8">
      <c r="A502" s="2">
        <v>46159</v>
      </c>
      <c r="B502" s="3">
        <v>1603855</v>
      </c>
      <c r="C502" s="3" t="s">
        <v>156</v>
      </c>
      <c r="D502" s="4">
        <v>20331736</v>
      </c>
      <c r="E502" s="3" t="s">
        <v>287</v>
      </c>
      <c r="F502" s="4">
        <v>3</v>
      </c>
      <c r="G502" s="5">
        <v>25</v>
      </c>
      <c r="H502" s="5">
        <f t="shared" si="7"/>
        <v>75</v>
      </c>
    </row>
    <row r="503" customFormat="1" hidden="1" spans="1:8">
      <c r="A503" s="2">
        <v>46159</v>
      </c>
      <c r="B503" s="3">
        <v>1603855</v>
      </c>
      <c r="C503" s="3" t="s">
        <v>156</v>
      </c>
      <c r="D503" s="4">
        <v>20330757</v>
      </c>
      <c r="E503" s="3" t="s">
        <v>288</v>
      </c>
      <c r="F503" s="4">
        <v>5</v>
      </c>
      <c r="G503" s="5">
        <v>35</v>
      </c>
      <c r="H503" s="5">
        <f t="shared" si="7"/>
        <v>175</v>
      </c>
    </row>
    <row r="504" customFormat="1" hidden="1" spans="1:8">
      <c r="A504" s="2">
        <v>46159</v>
      </c>
      <c r="B504" s="3">
        <v>1603855</v>
      </c>
      <c r="C504" s="3" t="s">
        <v>156</v>
      </c>
      <c r="D504" s="4">
        <v>20323697</v>
      </c>
      <c r="E504" s="3" t="s">
        <v>290</v>
      </c>
      <c r="F504" s="4">
        <v>2</v>
      </c>
      <c r="G504" s="5">
        <v>4</v>
      </c>
      <c r="H504" s="5">
        <f t="shared" si="7"/>
        <v>8</v>
      </c>
    </row>
    <row r="505" customFormat="1" hidden="1" spans="1:8">
      <c r="A505" s="2">
        <v>46159</v>
      </c>
      <c r="B505" s="3">
        <v>1603855</v>
      </c>
      <c r="C505" s="3" t="s">
        <v>156</v>
      </c>
      <c r="D505" s="4">
        <v>20402355</v>
      </c>
      <c r="E505" s="3" t="s">
        <v>291</v>
      </c>
      <c r="F505" s="4">
        <v>2</v>
      </c>
      <c r="G505" s="5">
        <v>25</v>
      </c>
      <c r="H505" s="5">
        <f t="shared" si="7"/>
        <v>50</v>
      </c>
    </row>
    <row r="506" customFormat="1" hidden="1" spans="1:8">
      <c r="A506" s="2">
        <v>46160</v>
      </c>
      <c r="B506" s="3">
        <v>1603908</v>
      </c>
      <c r="C506" s="3" t="s">
        <v>156</v>
      </c>
      <c r="D506" s="4">
        <v>20322304</v>
      </c>
      <c r="E506" s="3" t="s">
        <v>275</v>
      </c>
      <c r="F506" s="4">
        <v>7</v>
      </c>
      <c r="G506" s="5">
        <v>25</v>
      </c>
      <c r="H506" s="5">
        <f t="shared" si="7"/>
        <v>175</v>
      </c>
    </row>
    <row r="507" customFormat="1" hidden="1" spans="1:8">
      <c r="A507" s="2">
        <v>46160</v>
      </c>
      <c r="B507" s="3">
        <v>1603947</v>
      </c>
      <c r="C507" s="3" t="s">
        <v>150</v>
      </c>
      <c r="D507" s="4">
        <v>20312966</v>
      </c>
      <c r="E507" s="3" t="s">
        <v>258</v>
      </c>
      <c r="F507" s="4">
        <v>1</v>
      </c>
      <c r="G507" s="5">
        <v>159.5</v>
      </c>
      <c r="H507" s="5">
        <f t="shared" si="7"/>
        <v>159.5</v>
      </c>
    </row>
    <row r="508" customFormat="1" hidden="1" spans="1:8">
      <c r="A508" s="2">
        <v>46160</v>
      </c>
      <c r="B508" s="3">
        <v>1603947</v>
      </c>
      <c r="C508" s="3" t="s">
        <v>150</v>
      </c>
      <c r="D508" s="4">
        <v>20312965</v>
      </c>
      <c r="E508" s="3" t="s">
        <v>112</v>
      </c>
      <c r="F508" s="4">
        <v>1</v>
      </c>
      <c r="G508" s="5">
        <v>137.5</v>
      </c>
      <c r="H508" s="5">
        <f t="shared" si="7"/>
        <v>137.5</v>
      </c>
    </row>
    <row r="509" customFormat="1" hidden="1" spans="1:8">
      <c r="A509" s="2">
        <v>46160</v>
      </c>
      <c r="B509" s="3">
        <v>1603947</v>
      </c>
      <c r="C509" s="3" t="s">
        <v>150</v>
      </c>
      <c r="D509" s="4">
        <v>20312967</v>
      </c>
      <c r="E509" s="3" t="s">
        <v>289</v>
      </c>
      <c r="F509" s="4">
        <v>1</v>
      </c>
      <c r="G509" s="5">
        <v>176</v>
      </c>
      <c r="H509" s="5">
        <f t="shared" si="7"/>
        <v>176</v>
      </c>
    </row>
    <row r="510" customFormat="1" hidden="1" spans="1:8">
      <c r="A510" s="2">
        <v>46160</v>
      </c>
      <c r="B510" s="3">
        <v>1603947</v>
      </c>
      <c r="C510" s="3" t="s">
        <v>152</v>
      </c>
      <c r="D510" s="4">
        <v>20340286</v>
      </c>
      <c r="E510" s="3" t="s">
        <v>169</v>
      </c>
      <c r="F510" s="4">
        <v>1</v>
      </c>
      <c r="G510" s="5">
        <v>55</v>
      </c>
      <c r="H510" s="5">
        <f t="shared" si="7"/>
        <v>55</v>
      </c>
    </row>
    <row r="511" customFormat="1" hidden="1" spans="1:8">
      <c r="A511" s="2">
        <v>46160</v>
      </c>
      <c r="B511" s="3">
        <v>1603947</v>
      </c>
      <c r="C511" s="3" t="s">
        <v>152</v>
      </c>
      <c r="D511" s="4">
        <v>20408950</v>
      </c>
      <c r="E511" s="3" t="s">
        <v>295</v>
      </c>
      <c r="F511" s="4">
        <v>1</v>
      </c>
      <c r="G511" s="5">
        <v>60.5</v>
      </c>
      <c r="H511" s="5">
        <f t="shared" si="7"/>
        <v>60.5</v>
      </c>
    </row>
    <row r="512" customFormat="1" hidden="1" spans="1:8">
      <c r="A512" s="6">
        <v>46160</v>
      </c>
      <c r="B512" s="7">
        <v>1603963</v>
      </c>
      <c r="C512" s="7" t="s">
        <v>316</v>
      </c>
      <c r="D512" s="8">
        <v>20329951</v>
      </c>
      <c r="E512" s="7" t="s">
        <v>218</v>
      </c>
      <c r="F512" s="8">
        <v>1</v>
      </c>
      <c r="G512" s="9">
        <v>30</v>
      </c>
      <c r="H512" s="9">
        <f t="shared" si="7"/>
        <v>30</v>
      </c>
    </row>
    <row r="513" customFormat="1" hidden="1" spans="1:8">
      <c r="A513" s="6">
        <v>46160</v>
      </c>
      <c r="B513" s="7">
        <v>1603963</v>
      </c>
      <c r="C513" s="7" t="s">
        <v>316</v>
      </c>
      <c r="D513" s="8">
        <v>20389291</v>
      </c>
      <c r="E513" s="7" t="s">
        <v>248</v>
      </c>
      <c r="F513" s="8">
        <v>1</v>
      </c>
      <c r="G513" s="9">
        <v>66</v>
      </c>
      <c r="H513" s="9">
        <f t="shared" si="7"/>
        <v>66</v>
      </c>
    </row>
    <row r="514" customFormat="1" hidden="1" spans="1:8">
      <c r="A514" s="6">
        <v>46160</v>
      </c>
      <c r="B514" s="7">
        <v>1603963</v>
      </c>
      <c r="C514" s="7" t="s">
        <v>316</v>
      </c>
      <c r="D514" s="8">
        <v>20327985</v>
      </c>
      <c r="E514" s="7" t="s">
        <v>278</v>
      </c>
      <c r="F514" s="8">
        <v>1</v>
      </c>
      <c r="G514" s="9">
        <v>44</v>
      </c>
      <c r="H514" s="9">
        <f t="shared" ref="H514:H577" si="8">G514*F514</f>
        <v>44</v>
      </c>
    </row>
    <row r="515" customFormat="1" hidden="1" spans="1:8">
      <c r="A515" s="2">
        <v>46160</v>
      </c>
      <c r="B515" s="3">
        <v>1604011</v>
      </c>
      <c r="C515" s="3" t="s">
        <v>150</v>
      </c>
      <c r="D515" s="4">
        <v>20312966</v>
      </c>
      <c r="E515" s="3" t="s">
        <v>258</v>
      </c>
      <c r="F515" s="4">
        <v>1</v>
      </c>
      <c r="G515" s="5">
        <v>159.5</v>
      </c>
      <c r="H515" s="5">
        <f t="shared" si="8"/>
        <v>159.5</v>
      </c>
    </row>
    <row r="516" customFormat="1" hidden="1" spans="1:8">
      <c r="A516" s="2">
        <v>46160</v>
      </c>
      <c r="B516" s="3">
        <v>1604011</v>
      </c>
      <c r="C516" s="3" t="s">
        <v>150</v>
      </c>
      <c r="D516" s="4">
        <v>20312965</v>
      </c>
      <c r="E516" s="3" t="s">
        <v>112</v>
      </c>
      <c r="F516" s="4">
        <v>2</v>
      </c>
      <c r="G516" s="5">
        <v>137.5</v>
      </c>
      <c r="H516" s="5">
        <f t="shared" si="8"/>
        <v>275</v>
      </c>
    </row>
    <row r="517" customFormat="1" hidden="1" spans="1:8">
      <c r="A517" s="2">
        <v>46160</v>
      </c>
      <c r="B517" s="3">
        <v>1604011</v>
      </c>
      <c r="C517" s="3" t="s">
        <v>150</v>
      </c>
      <c r="D517" s="4">
        <v>20312967</v>
      </c>
      <c r="E517" s="3" t="s">
        <v>289</v>
      </c>
      <c r="F517" s="4">
        <v>1</v>
      </c>
      <c r="G517" s="5">
        <v>176</v>
      </c>
      <c r="H517" s="5">
        <f t="shared" si="8"/>
        <v>176</v>
      </c>
    </row>
    <row r="518" customFormat="1" hidden="1" spans="1:8">
      <c r="A518" s="2">
        <v>46160</v>
      </c>
      <c r="B518" s="3">
        <v>1604011</v>
      </c>
      <c r="C518" s="3" t="s">
        <v>151</v>
      </c>
      <c r="D518" s="4">
        <v>20318386</v>
      </c>
      <c r="E518" s="3" t="s">
        <v>286</v>
      </c>
      <c r="F518" s="4">
        <v>1</v>
      </c>
      <c r="G518" s="5">
        <v>13.5</v>
      </c>
      <c r="H518" s="5">
        <f t="shared" si="8"/>
        <v>13.5</v>
      </c>
    </row>
    <row r="519" customFormat="1" hidden="1" spans="1:8">
      <c r="A519" s="2">
        <v>46160</v>
      </c>
      <c r="B519" s="3">
        <v>1604011</v>
      </c>
      <c r="C519" s="3" t="s">
        <v>153</v>
      </c>
      <c r="D519" s="4">
        <v>20318334</v>
      </c>
      <c r="E519" s="3" t="s">
        <v>186</v>
      </c>
      <c r="F519" s="4">
        <v>2</v>
      </c>
      <c r="G519" s="5">
        <v>16.5</v>
      </c>
      <c r="H519" s="5">
        <f t="shared" si="8"/>
        <v>33</v>
      </c>
    </row>
    <row r="520" customFormat="1" hidden="1" spans="1:8">
      <c r="A520" s="2">
        <v>46160</v>
      </c>
      <c r="B520" s="3">
        <v>1604011</v>
      </c>
      <c r="C520" s="3" t="s">
        <v>153</v>
      </c>
      <c r="D520" s="4">
        <v>20402902</v>
      </c>
      <c r="E520" s="3" t="s">
        <v>190</v>
      </c>
      <c r="F520" s="4">
        <v>1</v>
      </c>
      <c r="G520" s="5">
        <v>33</v>
      </c>
      <c r="H520" s="5">
        <f t="shared" si="8"/>
        <v>33</v>
      </c>
    </row>
    <row r="521" customFormat="1" hidden="1" spans="1:8">
      <c r="A521" s="2">
        <v>46160</v>
      </c>
      <c r="B521" s="3">
        <v>1604011</v>
      </c>
      <c r="C521" s="3" t="s">
        <v>153</v>
      </c>
      <c r="D521" s="4">
        <v>20318375</v>
      </c>
      <c r="E521" s="3" t="s">
        <v>81</v>
      </c>
      <c r="F521" s="4">
        <v>1</v>
      </c>
      <c r="G521" s="5">
        <v>16.5</v>
      </c>
      <c r="H521" s="5">
        <f t="shared" si="8"/>
        <v>16.5</v>
      </c>
    </row>
    <row r="522" customFormat="1" hidden="1" spans="1:8">
      <c r="A522" s="2">
        <v>46160</v>
      </c>
      <c r="B522" s="3">
        <v>1604011</v>
      </c>
      <c r="C522" s="3" t="s">
        <v>153</v>
      </c>
      <c r="D522" s="4">
        <v>20318378</v>
      </c>
      <c r="E522" s="3" t="s">
        <v>231</v>
      </c>
      <c r="F522" s="4">
        <v>1</v>
      </c>
      <c r="G522" s="5">
        <v>16.5</v>
      </c>
      <c r="H522" s="5">
        <f t="shared" si="8"/>
        <v>16.5</v>
      </c>
    </row>
    <row r="523" customFormat="1" hidden="1" spans="1:8">
      <c r="A523" s="2">
        <v>46160</v>
      </c>
      <c r="B523" s="3">
        <v>1604011</v>
      </c>
      <c r="C523" s="3" t="s">
        <v>153</v>
      </c>
      <c r="D523" s="4">
        <v>20318380</v>
      </c>
      <c r="E523" s="3" t="s">
        <v>232</v>
      </c>
      <c r="F523" s="4">
        <v>1</v>
      </c>
      <c r="G523" s="5">
        <v>16.5</v>
      </c>
      <c r="H523" s="5">
        <f t="shared" si="8"/>
        <v>16.5</v>
      </c>
    </row>
    <row r="524" customFormat="1" hidden="1" spans="1:8">
      <c r="A524" s="2">
        <v>46160</v>
      </c>
      <c r="B524" s="3">
        <v>1604011</v>
      </c>
      <c r="C524" s="3" t="s">
        <v>153</v>
      </c>
      <c r="D524" s="4">
        <v>20340313</v>
      </c>
      <c r="E524" s="3" t="s">
        <v>237</v>
      </c>
      <c r="F524" s="4">
        <v>1</v>
      </c>
      <c r="G524" s="5">
        <v>16.5</v>
      </c>
      <c r="H524" s="5">
        <f t="shared" si="8"/>
        <v>16.5</v>
      </c>
    </row>
    <row r="525" customFormat="1" hidden="1" spans="1:8">
      <c r="A525" s="2">
        <v>46160</v>
      </c>
      <c r="B525" s="3">
        <v>1604011</v>
      </c>
      <c r="C525" s="3" t="s">
        <v>153</v>
      </c>
      <c r="D525" s="4">
        <v>20318340</v>
      </c>
      <c r="E525" s="3" t="s">
        <v>240</v>
      </c>
      <c r="F525" s="4">
        <v>1</v>
      </c>
      <c r="G525" s="5">
        <v>16.5</v>
      </c>
      <c r="H525" s="5">
        <f t="shared" si="8"/>
        <v>16.5</v>
      </c>
    </row>
    <row r="526" customFormat="1" hidden="1" spans="1:8">
      <c r="A526" s="2">
        <v>46160</v>
      </c>
      <c r="B526" s="3">
        <v>1604011</v>
      </c>
      <c r="C526" s="3" t="s">
        <v>153</v>
      </c>
      <c r="D526" s="4">
        <v>20318365</v>
      </c>
      <c r="E526" s="3" t="s">
        <v>300</v>
      </c>
      <c r="F526" s="4">
        <v>1</v>
      </c>
      <c r="G526" s="5">
        <v>16.5</v>
      </c>
      <c r="H526" s="5">
        <f t="shared" si="8"/>
        <v>16.5</v>
      </c>
    </row>
    <row r="527" customFormat="1" hidden="1" spans="1:8">
      <c r="A527" s="2">
        <v>46160</v>
      </c>
      <c r="B527" s="3">
        <v>1604011</v>
      </c>
      <c r="C527" s="3" t="s">
        <v>153</v>
      </c>
      <c r="D527" s="4">
        <v>20318336</v>
      </c>
      <c r="E527" s="3" t="s">
        <v>303</v>
      </c>
      <c r="F527" s="4">
        <v>1</v>
      </c>
      <c r="G527" s="5">
        <v>16.5</v>
      </c>
      <c r="H527" s="5">
        <f t="shared" si="8"/>
        <v>16.5</v>
      </c>
    </row>
    <row r="528" customFormat="1" hidden="1" spans="1:8">
      <c r="A528" s="2">
        <v>46160</v>
      </c>
      <c r="B528" s="3">
        <v>1604011</v>
      </c>
      <c r="C528" s="3" t="s">
        <v>153</v>
      </c>
      <c r="D528" s="4">
        <v>20318393</v>
      </c>
      <c r="E528" s="3" t="s">
        <v>140</v>
      </c>
      <c r="F528" s="4">
        <v>1</v>
      </c>
      <c r="G528" s="5">
        <v>16.5</v>
      </c>
      <c r="H528" s="5">
        <f t="shared" si="8"/>
        <v>16.5</v>
      </c>
    </row>
    <row r="529" customFormat="1" hidden="1" spans="1:8">
      <c r="A529" s="2">
        <v>46160</v>
      </c>
      <c r="B529" s="3">
        <v>1604017</v>
      </c>
      <c r="C529" s="3" t="s">
        <v>156</v>
      </c>
      <c r="D529" s="4">
        <v>20322235</v>
      </c>
      <c r="E529" s="3" t="s">
        <v>111</v>
      </c>
      <c r="F529" s="4">
        <v>4</v>
      </c>
      <c r="G529" s="5">
        <v>2.5</v>
      </c>
      <c r="H529" s="5">
        <f t="shared" si="8"/>
        <v>10</v>
      </c>
    </row>
    <row r="530" customFormat="1" hidden="1" spans="1:8">
      <c r="A530" s="2">
        <v>46160</v>
      </c>
      <c r="B530" s="3">
        <v>1604017</v>
      </c>
      <c r="C530" s="3" t="s">
        <v>156</v>
      </c>
      <c r="D530" s="4">
        <v>20322234</v>
      </c>
      <c r="E530" s="3" t="s">
        <v>274</v>
      </c>
      <c r="F530" s="4">
        <v>15</v>
      </c>
      <c r="G530" s="5">
        <v>2.5</v>
      </c>
      <c r="H530" s="5">
        <f t="shared" si="8"/>
        <v>37.5</v>
      </c>
    </row>
    <row r="531" customFormat="1" hidden="1" spans="1:8">
      <c r="A531" s="2">
        <v>46160</v>
      </c>
      <c r="B531" s="3">
        <v>1604017</v>
      </c>
      <c r="C531" s="3" t="s">
        <v>156</v>
      </c>
      <c r="D531" s="4">
        <v>20330757</v>
      </c>
      <c r="E531" s="3" t="s">
        <v>288</v>
      </c>
      <c r="F531" s="4">
        <v>3</v>
      </c>
      <c r="G531" s="5">
        <v>35</v>
      </c>
      <c r="H531" s="5">
        <f t="shared" si="8"/>
        <v>105</v>
      </c>
    </row>
    <row r="532" customFormat="1" hidden="1" spans="1:8">
      <c r="A532" s="2">
        <v>46160</v>
      </c>
      <c r="B532" s="3">
        <v>1604017</v>
      </c>
      <c r="C532" s="3" t="s">
        <v>156</v>
      </c>
      <c r="D532" s="4">
        <v>20402355</v>
      </c>
      <c r="E532" s="3" t="s">
        <v>291</v>
      </c>
      <c r="F532" s="4">
        <v>1</v>
      </c>
      <c r="G532" s="5">
        <v>25</v>
      </c>
      <c r="H532" s="5">
        <f t="shared" si="8"/>
        <v>25</v>
      </c>
    </row>
    <row r="533" customFormat="1" hidden="1" spans="1:8">
      <c r="A533" s="2">
        <v>46160</v>
      </c>
      <c r="B533" s="3">
        <v>1604017</v>
      </c>
      <c r="C533" s="3" t="s">
        <v>153</v>
      </c>
      <c r="D533" s="4">
        <v>20321257</v>
      </c>
      <c r="E533" s="3" t="s">
        <v>68</v>
      </c>
      <c r="F533" s="4">
        <v>1</v>
      </c>
      <c r="G533" s="5">
        <v>16.5</v>
      </c>
      <c r="H533" s="5">
        <f t="shared" si="8"/>
        <v>16.5</v>
      </c>
    </row>
    <row r="534" customFormat="1" hidden="1" spans="1:8">
      <c r="A534" s="2">
        <v>46160</v>
      </c>
      <c r="B534" s="3">
        <v>1604017</v>
      </c>
      <c r="C534" s="3" t="s">
        <v>153</v>
      </c>
      <c r="D534" s="4">
        <v>20318334</v>
      </c>
      <c r="E534" s="3" t="s">
        <v>186</v>
      </c>
      <c r="F534" s="4">
        <v>2</v>
      </c>
      <c r="G534" s="5">
        <v>16.5</v>
      </c>
      <c r="H534" s="5">
        <f t="shared" si="8"/>
        <v>33</v>
      </c>
    </row>
    <row r="535" customFormat="1" hidden="1" spans="1:8">
      <c r="A535" s="2">
        <v>46160</v>
      </c>
      <c r="B535" s="3">
        <v>1604017</v>
      </c>
      <c r="C535" s="3" t="s">
        <v>153</v>
      </c>
      <c r="D535" s="4">
        <v>20318378</v>
      </c>
      <c r="E535" s="3" t="s">
        <v>231</v>
      </c>
      <c r="F535" s="4">
        <v>1</v>
      </c>
      <c r="G535" s="5">
        <v>16.5</v>
      </c>
      <c r="H535" s="5">
        <f t="shared" si="8"/>
        <v>16.5</v>
      </c>
    </row>
    <row r="536" customFormat="1" hidden="1" spans="1:8">
      <c r="A536" s="2">
        <v>46160</v>
      </c>
      <c r="B536" s="3">
        <v>1604036</v>
      </c>
      <c r="C536" s="3" t="s">
        <v>150</v>
      </c>
      <c r="D536" s="4">
        <v>20312966</v>
      </c>
      <c r="E536" s="3" t="s">
        <v>258</v>
      </c>
      <c r="F536" s="4">
        <v>1</v>
      </c>
      <c r="G536" s="5">
        <v>159.5</v>
      </c>
      <c r="H536" s="5">
        <f t="shared" si="8"/>
        <v>159.5</v>
      </c>
    </row>
    <row r="537" customFormat="1" hidden="1" spans="1:8">
      <c r="A537" s="2">
        <v>46160</v>
      </c>
      <c r="B537" s="3">
        <v>1604036</v>
      </c>
      <c r="C537" s="3" t="s">
        <v>150</v>
      </c>
      <c r="D537" s="4">
        <v>20312965</v>
      </c>
      <c r="E537" s="3" t="s">
        <v>112</v>
      </c>
      <c r="F537" s="4">
        <v>2</v>
      </c>
      <c r="G537" s="5">
        <v>137.5</v>
      </c>
      <c r="H537" s="5">
        <f t="shared" si="8"/>
        <v>275</v>
      </c>
    </row>
    <row r="538" customFormat="1" hidden="1" spans="1:8">
      <c r="A538" s="2">
        <v>46160</v>
      </c>
      <c r="B538" s="3">
        <v>1604036</v>
      </c>
      <c r="C538" s="3" t="s">
        <v>150</v>
      </c>
      <c r="D538" s="4">
        <v>20312968</v>
      </c>
      <c r="E538" s="3" t="s">
        <v>276</v>
      </c>
      <c r="F538" s="4">
        <v>1</v>
      </c>
      <c r="G538" s="5">
        <v>187</v>
      </c>
      <c r="H538" s="5">
        <f t="shared" si="8"/>
        <v>187</v>
      </c>
    </row>
    <row r="539" customFormat="1" hidden="1" spans="1:8">
      <c r="A539" s="2">
        <v>46160</v>
      </c>
      <c r="B539" s="3">
        <v>1604036</v>
      </c>
      <c r="C539" s="3" t="s">
        <v>150</v>
      </c>
      <c r="D539" s="4">
        <v>20312967</v>
      </c>
      <c r="E539" s="3" t="s">
        <v>289</v>
      </c>
      <c r="F539" s="4">
        <v>8</v>
      </c>
      <c r="G539" s="5">
        <v>176</v>
      </c>
      <c r="H539" s="5">
        <f t="shared" si="8"/>
        <v>1408</v>
      </c>
    </row>
    <row r="540" customFormat="1" hidden="1" spans="1:8">
      <c r="A540" s="2">
        <v>46160</v>
      </c>
      <c r="B540" s="3">
        <v>1604036</v>
      </c>
      <c r="C540" s="3" t="s">
        <v>152</v>
      </c>
      <c r="D540" s="4">
        <v>20366064</v>
      </c>
      <c r="E540" s="3" t="s">
        <v>195</v>
      </c>
      <c r="F540" s="4">
        <v>1</v>
      </c>
      <c r="G540" s="5">
        <v>71.5</v>
      </c>
      <c r="H540" s="5">
        <f t="shared" si="8"/>
        <v>71.5</v>
      </c>
    </row>
    <row r="541" customFormat="1" hidden="1" spans="1:8">
      <c r="A541" s="2">
        <v>46160</v>
      </c>
      <c r="B541" s="3">
        <v>1604048</v>
      </c>
      <c r="C541" s="3" t="s">
        <v>150</v>
      </c>
      <c r="D541" s="4">
        <v>20321476</v>
      </c>
      <c r="E541" s="3" t="s">
        <v>161</v>
      </c>
      <c r="F541" s="4">
        <v>1</v>
      </c>
      <c r="G541" s="5">
        <v>55</v>
      </c>
      <c r="H541" s="5">
        <f t="shared" si="8"/>
        <v>55</v>
      </c>
    </row>
    <row r="542" customFormat="1" hidden="1" spans="1:8">
      <c r="A542" s="2">
        <v>46160</v>
      </c>
      <c r="B542" s="3">
        <v>1604048</v>
      </c>
      <c r="C542" s="3" t="s">
        <v>150</v>
      </c>
      <c r="D542" s="4">
        <v>20312966</v>
      </c>
      <c r="E542" s="3" t="s">
        <v>258</v>
      </c>
      <c r="F542" s="4">
        <v>5</v>
      </c>
      <c r="G542" s="5">
        <v>159.5</v>
      </c>
      <c r="H542" s="5">
        <f t="shared" si="8"/>
        <v>797.5</v>
      </c>
    </row>
    <row r="543" customFormat="1" hidden="1" spans="1:8">
      <c r="A543" s="2">
        <v>46160</v>
      </c>
      <c r="B543" s="3">
        <v>1604048</v>
      </c>
      <c r="C543" s="3" t="s">
        <v>150</v>
      </c>
      <c r="D543" s="4">
        <v>20312965</v>
      </c>
      <c r="E543" s="3" t="s">
        <v>112</v>
      </c>
      <c r="F543" s="4">
        <v>5</v>
      </c>
      <c r="G543" s="5">
        <v>137.5</v>
      </c>
      <c r="H543" s="5">
        <f t="shared" si="8"/>
        <v>687.5</v>
      </c>
    </row>
    <row r="544" customFormat="1" hidden="1" spans="1:8">
      <c r="A544" s="2">
        <v>46160</v>
      </c>
      <c r="B544" s="3">
        <v>1604048</v>
      </c>
      <c r="C544" s="3" t="s">
        <v>150</v>
      </c>
      <c r="D544" s="4">
        <v>20312968</v>
      </c>
      <c r="E544" s="3" t="s">
        <v>276</v>
      </c>
      <c r="F544" s="4">
        <v>1</v>
      </c>
      <c r="G544" s="5">
        <v>187</v>
      </c>
      <c r="H544" s="5">
        <f t="shared" si="8"/>
        <v>187</v>
      </c>
    </row>
    <row r="545" customFormat="1" hidden="1" spans="1:8">
      <c r="A545" s="2">
        <v>46160</v>
      </c>
      <c r="B545" s="3">
        <v>1604048</v>
      </c>
      <c r="C545" s="3" t="s">
        <v>150</v>
      </c>
      <c r="D545" s="4">
        <v>20312967</v>
      </c>
      <c r="E545" s="3" t="s">
        <v>289</v>
      </c>
      <c r="F545" s="4">
        <v>3</v>
      </c>
      <c r="G545" s="5">
        <v>176</v>
      </c>
      <c r="H545" s="5">
        <f t="shared" si="8"/>
        <v>528</v>
      </c>
    </row>
    <row r="546" customFormat="1" hidden="1" spans="1:8">
      <c r="A546" s="2">
        <v>46160</v>
      </c>
      <c r="B546" s="3">
        <v>1604048</v>
      </c>
      <c r="C546" s="3" t="s">
        <v>150</v>
      </c>
      <c r="D546" s="4">
        <v>20424417</v>
      </c>
      <c r="E546" s="3" t="s">
        <v>312</v>
      </c>
      <c r="F546" s="4">
        <v>4</v>
      </c>
      <c r="G546" s="5">
        <v>66</v>
      </c>
      <c r="H546" s="5">
        <f t="shared" si="8"/>
        <v>264</v>
      </c>
    </row>
    <row r="547" customFormat="1" hidden="1" spans="1:8">
      <c r="A547" s="2">
        <v>46160</v>
      </c>
      <c r="B547" s="3">
        <v>1604048</v>
      </c>
      <c r="C547" s="3" t="s">
        <v>151</v>
      </c>
      <c r="D547" s="4">
        <v>20318363</v>
      </c>
      <c r="E547" s="3" t="s">
        <v>94</v>
      </c>
      <c r="F547" s="4">
        <v>2</v>
      </c>
      <c r="G547" s="5">
        <v>8</v>
      </c>
      <c r="H547" s="5">
        <f t="shared" si="8"/>
        <v>16</v>
      </c>
    </row>
    <row r="548" customFormat="1" hidden="1" spans="1:8">
      <c r="A548" s="2">
        <v>46160</v>
      </c>
      <c r="B548" s="3">
        <v>1604048</v>
      </c>
      <c r="C548" s="3" t="s">
        <v>151</v>
      </c>
      <c r="D548" s="4">
        <v>20407037</v>
      </c>
      <c r="E548" s="3" t="s">
        <v>285</v>
      </c>
      <c r="F548" s="4">
        <v>1</v>
      </c>
      <c r="G548" s="5">
        <v>16.5</v>
      </c>
      <c r="H548" s="5">
        <f t="shared" si="8"/>
        <v>16.5</v>
      </c>
    </row>
    <row r="549" customFormat="1" hidden="1" spans="1:8">
      <c r="A549" s="2">
        <v>46160</v>
      </c>
      <c r="B549" s="3">
        <v>1604048</v>
      </c>
      <c r="C549" s="3" t="s">
        <v>152</v>
      </c>
      <c r="D549" s="4">
        <v>20366059</v>
      </c>
      <c r="E549" s="3" t="s">
        <v>194</v>
      </c>
      <c r="F549" s="4">
        <v>1</v>
      </c>
      <c r="G549" s="5">
        <v>66</v>
      </c>
      <c r="H549" s="5">
        <f t="shared" si="8"/>
        <v>66</v>
      </c>
    </row>
    <row r="550" customFormat="1" hidden="1" spans="1:8">
      <c r="A550" s="2">
        <v>46160</v>
      </c>
      <c r="B550" s="3">
        <v>1604048</v>
      </c>
      <c r="C550" s="3" t="s">
        <v>153</v>
      </c>
      <c r="D550" s="4">
        <v>20318380</v>
      </c>
      <c r="E550" s="3" t="s">
        <v>232</v>
      </c>
      <c r="F550" s="4">
        <v>1</v>
      </c>
      <c r="G550" s="5">
        <v>16.5</v>
      </c>
      <c r="H550" s="5">
        <f t="shared" si="8"/>
        <v>16.5</v>
      </c>
    </row>
    <row r="551" customFormat="1" hidden="1" spans="1:8">
      <c r="A551" s="2">
        <v>46160</v>
      </c>
      <c r="B551" s="3">
        <v>1604048</v>
      </c>
      <c r="C551" s="3" t="s">
        <v>153</v>
      </c>
      <c r="D551" s="4">
        <v>20321250</v>
      </c>
      <c r="E551" s="3" t="s">
        <v>259</v>
      </c>
      <c r="F551" s="4">
        <v>1</v>
      </c>
      <c r="G551" s="5">
        <v>16.5</v>
      </c>
      <c r="H551" s="5">
        <f t="shared" si="8"/>
        <v>16.5</v>
      </c>
    </row>
    <row r="552" customFormat="1" hidden="1" spans="1:8">
      <c r="A552" s="2">
        <v>46160</v>
      </c>
      <c r="B552" s="3">
        <v>1604048</v>
      </c>
      <c r="C552" s="3" t="s">
        <v>153</v>
      </c>
      <c r="D552" s="4">
        <v>20383164</v>
      </c>
      <c r="E552" s="3" t="s">
        <v>273</v>
      </c>
      <c r="F552" s="4">
        <v>1</v>
      </c>
      <c r="G552" s="5">
        <v>22</v>
      </c>
      <c r="H552" s="5">
        <f t="shared" si="8"/>
        <v>22</v>
      </c>
    </row>
    <row r="553" customFormat="1" hidden="1" spans="1:8">
      <c r="A553" s="2">
        <v>46160</v>
      </c>
      <c r="B553" s="3">
        <v>1604048</v>
      </c>
      <c r="C553" s="3" t="s">
        <v>153</v>
      </c>
      <c r="D553" s="4">
        <v>20318389</v>
      </c>
      <c r="E553" s="3" t="s">
        <v>302</v>
      </c>
      <c r="F553" s="4">
        <v>1</v>
      </c>
      <c r="G553" s="5">
        <v>16.5</v>
      </c>
      <c r="H553" s="5">
        <f t="shared" si="8"/>
        <v>16.5</v>
      </c>
    </row>
    <row r="554" customFormat="1" hidden="1" spans="1:8">
      <c r="A554" s="2">
        <v>46160</v>
      </c>
      <c r="B554" s="3">
        <v>1604048</v>
      </c>
      <c r="C554" s="3" t="s">
        <v>153</v>
      </c>
      <c r="D554" s="4">
        <v>20318342</v>
      </c>
      <c r="E554" s="3" t="s">
        <v>304</v>
      </c>
      <c r="F554" s="4">
        <v>2</v>
      </c>
      <c r="G554" s="5">
        <v>16.5</v>
      </c>
      <c r="H554" s="5">
        <f t="shared" si="8"/>
        <v>33</v>
      </c>
    </row>
    <row r="555" customFormat="1" hidden="1" spans="1:8">
      <c r="A555" s="2">
        <v>46160</v>
      </c>
      <c r="B555" s="3">
        <v>1604088</v>
      </c>
      <c r="C555" s="3" t="s">
        <v>156</v>
      </c>
      <c r="D555" s="4">
        <v>20322243</v>
      </c>
      <c r="E555" s="3" t="s">
        <v>117</v>
      </c>
      <c r="F555" s="4">
        <v>1</v>
      </c>
      <c r="G555" s="5">
        <v>30</v>
      </c>
      <c r="H555" s="5">
        <f t="shared" si="8"/>
        <v>30</v>
      </c>
    </row>
    <row r="556" customFormat="1" hidden="1" spans="1:8">
      <c r="A556" s="2">
        <v>46160</v>
      </c>
      <c r="B556" s="3">
        <v>1604088</v>
      </c>
      <c r="C556" s="3" t="s">
        <v>156</v>
      </c>
      <c r="D556" s="4">
        <v>20330757</v>
      </c>
      <c r="E556" s="3" t="s">
        <v>288</v>
      </c>
      <c r="F556" s="4">
        <v>2</v>
      </c>
      <c r="G556" s="5">
        <v>35</v>
      </c>
      <c r="H556" s="5">
        <f t="shared" si="8"/>
        <v>70</v>
      </c>
    </row>
    <row r="557" customFormat="1" hidden="1" spans="1:8">
      <c r="A557" s="2">
        <v>46160</v>
      </c>
      <c r="B557" s="3">
        <v>1604088</v>
      </c>
      <c r="C557" s="3" t="s">
        <v>153</v>
      </c>
      <c r="D557" s="4">
        <v>20321257</v>
      </c>
      <c r="E557" s="3" t="s">
        <v>68</v>
      </c>
      <c r="F557" s="4">
        <v>1</v>
      </c>
      <c r="G557" s="5">
        <v>16.5</v>
      </c>
      <c r="H557" s="5">
        <f t="shared" si="8"/>
        <v>16.5</v>
      </c>
    </row>
    <row r="558" customFormat="1" hidden="1" spans="1:8">
      <c r="A558" s="2">
        <v>46160</v>
      </c>
      <c r="B558" s="3">
        <v>1604088</v>
      </c>
      <c r="C558" s="3" t="s">
        <v>153</v>
      </c>
      <c r="D558" s="4">
        <v>20318158</v>
      </c>
      <c r="E558" s="3" t="s">
        <v>244</v>
      </c>
      <c r="F558" s="4">
        <v>1</v>
      </c>
      <c r="G558" s="5">
        <v>16.5</v>
      </c>
      <c r="H558" s="5">
        <f t="shared" si="8"/>
        <v>16.5</v>
      </c>
    </row>
    <row r="559" customFormat="1" hidden="1" spans="1:8">
      <c r="A559" s="2">
        <v>46160</v>
      </c>
      <c r="B559" s="3">
        <v>1604088</v>
      </c>
      <c r="C559" s="3" t="s">
        <v>153</v>
      </c>
      <c r="D559" s="4">
        <v>20318336</v>
      </c>
      <c r="E559" s="3" t="s">
        <v>303</v>
      </c>
      <c r="F559" s="4">
        <v>2</v>
      </c>
      <c r="G559" s="5">
        <v>16.5</v>
      </c>
      <c r="H559" s="5">
        <f t="shared" si="8"/>
        <v>33</v>
      </c>
    </row>
    <row r="560" customFormat="1" hidden="1" spans="1:8">
      <c r="A560" s="2">
        <v>46160</v>
      </c>
      <c r="B560" s="3">
        <v>1604108</v>
      </c>
      <c r="C560" s="3" t="s">
        <v>150</v>
      </c>
      <c r="D560" s="4">
        <v>20321252</v>
      </c>
      <c r="E560" s="3" t="s">
        <v>162</v>
      </c>
      <c r="F560" s="4">
        <v>1</v>
      </c>
      <c r="G560" s="5">
        <v>49.5</v>
      </c>
      <c r="H560" s="5">
        <f t="shared" si="8"/>
        <v>49.5</v>
      </c>
    </row>
    <row r="561" customFormat="1" hidden="1" spans="1:8">
      <c r="A561" s="2">
        <v>46160</v>
      </c>
      <c r="B561" s="3">
        <v>1604108</v>
      </c>
      <c r="C561" s="3" t="s">
        <v>150</v>
      </c>
      <c r="D561" s="4">
        <v>20321719</v>
      </c>
      <c r="E561" s="3" t="s">
        <v>163</v>
      </c>
      <c r="F561" s="4">
        <v>1</v>
      </c>
      <c r="G561" s="5">
        <v>49.5</v>
      </c>
      <c r="H561" s="5">
        <f t="shared" si="8"/>
        <v>49.5</v>
      </c>
    </row>
    <row r="562" customFormat="1" hidden="1" spans="1:8">
      <c r="A562" s="2">
        <v>46160</v>
      </c>
      <c r="B562" s="3">
        <v>1604108</v>
      </c>
      <c r="C562" s="3" t="s">
        <v>150</v>
      </c>
      <c r="D562" s="4">
        <v>20312966</v>
      </c>
      <c r="E562" s="3" t="s">
        <v>258</v>
      </c>
      <c r="F562" s="4">
        <v>4</v>
      </c>
      <c r="G562" s="5">
        <v>159.5</v>
      </c>
      <c r="H562" s="5">
        <f t="shared" si="8"/>
        <v>638</v>
      </c>
    </row>
    <row r="563" customFormat="1" hidden="1" spans="1:8">
      <c r="A563" s="2">
        <v>46160</v>
      </c>
      <c r="B563" s="3">
        <v>1604108</v>
      </c>
      <c r="C563" s="3" t="s">
        <v>150</v>
      </c>
      <c r="D563" s="4">
        <v>20312965</v>
      </c>
      <c r="E563" s="3" t="s">
        <v>112</v>
      </c>
      <c r="F563" s="4">
        <v>3</v>
      </c>
      <c r="G563" s="5">
        <v>137.5</v>
      </c>
      <c r="H563" s="5">
        <f t="shared" si="8"/>
        <v>412.5</v>
      </c>
    </row>
    <row r="564" customFormat="1" hidden="1" spans="1:8">
      <c r="A564" s="2">
        <v>46160</v>
      </c>
      <c r="B564" s="3">
        <v>1604108</v>
      </c>
      <c r="C564" s="3" t="s">
        <v>150</v>
      </c>
      <c r="D564" s="4">
        <v>20312967</v>
      </c>
      <c r="E564" s="3" t="s">
        <v>289</v>
      </c>
      <c r="F564" s="4">
        <v>6</v>
      </c>
      <c r="G564" s="5">
        <v>176</v>
      </c>
      <c r="H564" s="5">
        <f t="shared" si="8"/>
        <v>1056</v>
      </c>
    </row>
    <row r="565" customFormat="1" spans="1:8">
      <c r="A565" s="2">
        <v>46160</v>
      </c>
      <c r="B565" s="3">
        <v>1604108</v>
      </c>
      <c r="C565" s="3" t="s">
        <v>150</v>
      </c>
      <c r="D565" s="4">
        <v>20414050</v>
      </c>
      <c r="E565" s="3" t="s">
        <v>298</v>
      </c>
      <c r="F565" s="4">
        <v>1</v>
      </c>
      <c r="G565" s="5">
        <v>99</v>
      </c>
      <c r="H565" s="5">
        <f t="shared" si="8"/>
        <v>99</v>
      </c>
    </row>
    <row r="566" customFormat="1" hidden="1" spans="1:8">
      <c r="A566" s="2">
        <v>46160</v>
      </c>
      <c r="B566" s="3">
        <v>1604108</v>
      </c>
      <c r="C566" s="3" t="s">
        <v>153</v>
      </c>
      <c r="D566" s="4">
        <v>20321257</v>
      </c>
      <c r="E566" s="3" t="s">
        <v>68</v>
      </c>
      <c r="F566" s="4">
        <v>4</v>
      </c>
      <c r="G566" s="5">
        <v>16.5</v>
      </c>
      <c r="H566" s="5">
        <f t="shared" si="8"/>
        <v>66</v>
      </c>
    </row>
    <row r="567" customFormat="1" hidden="1" spans="1:8">
      <c r="A567" s="2">
        <v>46160</v>
      </c>
      <c r="B567" s="3">
        <v>1604108</v>
      </c>
      <c r="C567" s="3" t="s">
        <v>153</v>
      </c>
      <c r="D567" s="4">
        <v>20318340</v>
      </c>
      <c r="E567" s="3" t="s">
        <v>240</v>
      </c>
      <c r="F567" s="4">
        <v>1</v>
      </c>
      <c r="G567" s="5">
        <v>16.5</v>
      </c>
      <c r="H567" s="5">
        <f t="shared" si="8"/>
        <v>16.5</v>
      </c>
    </row>
    <row r="568" customFormat="1" hidden="1" spans="1:8">
      <c r="A568" s="2">
        <v>46160</v>
      </c>
      <c r="B568" s="3">
        <v>1604108</v>
      </c>
      <c r="C568" s="3" t="s">
        <v>153</v>
      </c>
      <c r="D568" s="4">
        <v>20321250</v>
      </c>
      <c r="E568" s="3" t="s">
        <v>259</v>
      </c>
      <c r="F568" s="4">
        <v>1</v>
      </c>
      <c r="G568" s="5">
        <v>16.5</v>
      </c>
      <c r="H568" s="5">
        <f t="shared" si="8"/>
        <v>16.5</v>
      </c>
    </row>
    <row r="569" customFormat="1" hidden="1" spans="1:8">
      <c r="A569" s="2">
        <v>46161</v>
      </c>
      <c r="B569" s="3">
        <v>1604318</v>
      </c>
      <c r="C569" s="3" t="s">
        <v>150</v>
      </c>
      <c r="D569" s="4">
        <v>20312966</v>
      </c>
      <c r="E569" s="3" t="s">
        <v>258</v>
      </c>
      <c r="F569" s="4">
        <v>3</v>
      </c>
      <c r="G569" s="5">
        <v>159.5</v>
      </c>
      <c r="H569" s="5">
        <f t="shared" si="8"/>
        <v>478.5</v>
      </c>
    </row>
    <row r="570" customFormat="1" hidden="1" spans="1:8">
      <c r="A570" s="2">
        <v>46161</v>
      </c>
      <c r="B570" s="3">
        <v>1604318</v>
      </c>
      <c r="C570" s="3" t="s">
        <v>150</v>
      </c>
      <c r="D570" s="4">
        <v>20312968</v>
      </c>
      <c r="E570" s="3" t="s">
        <v>276</v>
      </c>
      <c r="F570" s="4">
        <v>1</v>
      </c>
      <c r="G570" s="5">
        <v>187</v>
      </c>
      <c r="H570" s="5">
        <f t="shared" si="8"/>
        <v>187</v>
      </c>
    </row>
    <row r="571" customFormat="1" hidden="1" spans="1:8">
      <c r="A571" s="2">
        <v>46161</v>
      </c>
      <c r="B571" s="3">
        <v>1604318</v>
      </c>
      <c r="C571" s="3" t="s">
        <v>150</v>
      </c>
      <c r="D571" s="4">
        <v>20312967</v>
      </c>
      <c r="E571" s="3" t="s">
        <v>289</v>
      </c>
      <c r="F571" s="4">
        <v>4</v>
      </c>
      <c r="G571" s="5">
        <v>176</v>
      </c>
      <c r="H571" s="5">
        <f t="shared" si="8"/>
        <v>704</v>
      </c>
    </row>
    <row r="572" customFormat="1" hidden="1" spans="1:8">
      <c r="A572" s="2">
        <v>46161</v>
      </c>
      <c r="B572" s="3">
        <v>1604318</v>
      </c>
      <c r="C572" s="3" t="s">
        <v>151</v>
      </c>
      <c r="D572" s="4">
        <v>20340288</v>
      </c>
      <c r="E572" s="3" t="s">
        <v>282</v>
      </c>
      <c r="F572" s="4">
        <v>1</v>
      </c>
      <c r="G572" s="5">
        <v>22</v>
      </c>
      <c r="H572" s="5">
        <f t="shared" si="8"/>
        <v>22</v>
      </c>
    </row>
    <row r="573" customFormat="1" hidden="1" spans="1:8">
      <c r="A573" s="2">
        <v>46161</v>
      </c>
      <c r="B573" s="3">
        <v>1604318</v>
      </c>
      <c r="C573" s="3" t="s">
        <v>156</v>
      </c>
      <c r="D573" s="4">
        <v>20322243</v>
      </c>
      <c r="E573" s="3" t="s">
        <v>117</v>
      </c>
      <c r="F573" s="4">
        <v>1</v>
      </c>
      <c r="G573" s="5">
        <v>30</v>
      </c>
      <c r="H573" s="5">
        <f t="shared" si="8"/>
        <v>30</v>
      </c>
    </row>
    <row r="574" customFormat="1" hidden="1" spans="1:8">
      <c r="A574" s="2">
        <v>46161</v>
      </c>
      <c r="B574" s="3">
        <v>1604318</v>
      </c>
      <c r="C574" s="3" t="s">
        <v>156</v>
      </c>
      <c r="D574" s="4">
        <v>20330757</v>
      </c>
      <c r="E574" s="3" t="s">
        <v>288</v>
      </c>
      <c r="F574" s="4">
        <v>5</v>
      </c>
      <c r="G574" s="5">
        <v>35</v>
      </c>
      <c r="H574" s="5">
        <f t="shared" si="8"/>
        <v>175</v>
      </c>
    </row>
    <row r="575" customFormat="1" hidden="1" spans="1:8">
      <c r="A575" s="2">
        <v>46161</v>
      </c>
      <c r="B575" s="3">
        <v>1604318</v>
      </c>
      <c r="C575" s="3" t="s">
        <v>153</v>
      </c>
      <c r="D575" s="4">
        <v>20318360</v>
      </c>
      <c r="E575" s="3" t="s">
        <v>168</v>
      </c>
      <c r="F575" s="4">
        <v>1</v>
      </c>
      <c r="G575" s="5">
        <v>33</v>
      </c>
      <c r="H575" s="5">
        <f t="shared" si="8"/>
        <v>33</v>
      </c>
    </row>
    <row r="576" customFormat="1" hidden="1" spans="1:8">
      <c r="A576" s="2">
        <v>46161</v>
      </c>
      <c r="B576" s="3">
        <v>1604318</v>
      </c>
      <c r="C576" s="3" t="s">
        <v>153</v>
      </c>
      <c r="D576" s="4">
        <v>20321257</v>
      </c>
      <c r="E576" s="3" t="s">
        <v>68</v>
      </c>
      <c r="F576" s="4">
        <v>5</v>
      </c>
      <c r="G576" s="5">
        <v>16.5</v>
      </c>
      <c r="H576" s="5">
        <f t="shared" si="8"/>
        <v>82.5</v>
      </c>
    </row>
    <row r="577" customFormat="1" hidden="1" spans="1:8">
      <c r="A577" s="2">
        <v>46161</v>
      </c>
      <c r="B577" s="3">
        <v>1604318</v>
      </c>
      <c r="C577" s="3" t="s">
        <v>153</v>
      </c>
      <c r="D577" s="4">
        <v>20318378</v>
      </c>
      <c r="E577" s="3" t="s">
        <v>231</v>
      </c>
      <c r="F577" s="4">
        <v>2</v>
      </c>
      <c r="G577" s="5">
        <v>16.5</v>
      </c>
      <c r="H577" s="5">
        <f t="shared" si="8"/>
        <v>33</v>
      </c>
    </row>
    <row r="578" customFormat="1" hidden="1" spans="1:8">
      <c r="A578" s="2">
        <v>46161</v>
      </c>
      <c r="B578" s="3">
        <v>1604318</v>
      </c>
      <c r="C578" s="3" t="s">
        <v>153</v>
      </c>
      <c r="D578" s="4">
        <v>20318380</v>
      </c>
      <c r="E578" s="3" t="s">
        <v>232</v>
      </c>
      <c r="F578" s="4">
        <v>1</v>
      </c>
      <c r="G578" s="5">
        <v>16.5</v>
      </c>
      <c r="H578" s="5">
        <f t="shared" ref="H578:H641" si="9">G578*F578</f>
        <v>16.5</v>
      </c>
    </row>
    <row r="579" customFormat="1" hidden="1" spans="1:8">
      <c r="A579" s="2">
        <v>46161</v>
      </c>
      <c r="B579" s="3">
        <v>1604318</v>
      </c>
      <c r="C579" s="3" t="s">
        <v>153</v>
      </c>
      <c r="D579" s="4">
        <v>20374808</v>
      </c>
      <c r="E579" s="3" t="s">
        <v>253</v>
      </c>
      <c r="F579" s="4">
        <v>1</v>
      </c>
      <c r="G579" s="5">
        <v>16.5</v>
      </c>
      <c r="H579" s="5">
        <f t="shared" si="9"/>
        <v>16.5</v>
      </c>
    </row>
    <row r="580" customFormat="1" hidden="1" spans="1:8">
      <c r="A580" s="2">
        <v>46161</v>
      </c>
      <c r="B580" s="3">
        <v>1604318</v>
      </c>
      <c r="C580" s="3" t="s">
        <v>153</v>
      </c>
      <c r="D580" s="4">
        <v>20321250</v>
      </c>
      <c r="E580" s="3" t="s">
        <v>259</v>
      </c>
      <c r="F580" s="4">
        <v>2</v>
      </c>
      <c r="G580" s="5">
        <v>16.5</v>
      </c>
      <c r="H580" s="5">
        <f t="shared" si="9"/>
        <v>33</v>
      </c>
    </row>
    <row r="581" customFormat="1" hidden="1" spans="1:8">
      <c r="A581" s="2">
        <v>46161</v>
      </c>
      <c r="B581" s="3">
        <v>1604318</v>
      </c>
      <c r="C581" s="3" t="s">
        <v>153</v>
      </c>
      <c r="D581" s="4">
        <v>20340289</v>
      </c>
      <c r="E581" s="3" t="s">
        <v>272</v>
      </c>
      <c r="F581" s="4">
        <v>1</v>
      </c>
      <c r="G581" s="5">
        <v>16.5</v>
      </c>
      <c r="H581" s="5">
        <f t="shared" si="9"/>
        <v>16.5</v>
      </c>
    </row>
    <row r="582" customFormat="1" hidden="1" spans="1:8">
      <c r="A582" s="2">
        <v>46161</v>
      </c>
      <c r="B582" s="3">
        <v>1604357</v>
      </c>
      <c r="C582" s="3" t="s">
        <v>150</v>
      </c>
      <c r="D582" s="4">
        <v>20312982</v>
      </c>
      <c r="E582" s="3" t="s">
        <v>174</v>
      </c>
      <c r="F582" s="4">
        <v>1</v>
      </c>
      <c r="G582" s="5">
        <v>214.5</v>
      </c>
      <c r="H582" s="5">
        <f t="shared" si="9"/>
        <v>214.5</v>
      </c>
    </row>
    <row r="583" customFormat="1" hidden="1" spans="1:8">
      <c r="A583" s="2">
        <v>46161</v>
      </c>
      <c r="B583" s="3">
        <v>1604357</v>
      </c>
      <c r="C583" s="3" t="s">
        <v>150</v>
      </c>
      <c r="D583" s="4">
        <v>20312966</v>
      </c>
      <c r="E583" s="3" t="s">
        <v>258</v>
      </c>
      <c r="F583" s="4">
        <v>2</v>
      </c>
      <c r="G583" s="5">
        <v>159.5</v>
      </c>
      <c r="H583" s="5">
        <f t="shared" si="9"/>
        <v>319</v>
      </c>
    </row>
    <row r="584" customFormat="1" hidden="1" spans="1:8">
      <c r="A584" s="2">
        <v>46161</v>
      </c>
      <c r="B584" s="3">
        <v>1604357</v>
      </c>
      <c r="C584" s="3" t="s">
        <v>153</v>
      </c>
      <c r="D584" s="4">
        <v>20321257</v>
      </c>
      <c r="E584" s="3" t="s">
        <v>68</v>
      </c>
      <c r="F584" s="4">
        <v>2</v>
      </c>
      <c r="G584" s="5">
        <v>16.5</v>
      </c>
      <c r="H584" s="5">
        <f t="shared" si="9"/>
        <v>33</v>
      </c>
    </row>
    <row r="585" customFormat="1" hidden="1" spans="1:8">
      <c r="A585" s="2">
        <v>46161</v>
      </c>
      <c r="B585" s="3">
        <v>1604357</v>
      </c>
      <c r="C585" s="3" t="s">
        <v>153</v>
      </c>
      <c r="D585" s="4">
        <v>20363041</v>
      </c>
      <c r="E585" s="3" t="s">
        <v>187</v>
      </c>
      <c r="F585" s="4">
        <v>1</v>
      </c>
      <c r="G585" s="5">
        <v>16.5</v>
      </c>
      <c r="H585" s="5">
        <f t="shared" si="9"/>
        <v>16.5</v>
      </c>
    </row>
    <row r="586" customFormat="1" hidden="1" spans="1:8">
      <c r="A586" s="2">
        <v>46161</v>
      </c>
      <c r="B586" s="3">
        <v>1604357</v>
      </c>
      <c r="C586" s="3" t="s">
        <v>153</v>
      </c>
      <c r="D586" s="4">
        <v>20318379</v>
      </c>
      <c r="E586" s="3" t="s">
        <v>127</v>
      </c>
      <c r="F586" s="4">
        <v>1</v>
      </c>
      <c r="G586" s="5">
        <v>16.5</v>
      </c>
      <c r="H586" s="5">
        <f t="shared" si="9"/>
        <v>16.5</v>
      </c>
    </row>
    <row r="587" customFormat="1" hidden="1" spans="1:8">
      <c r="A587" s="2">
        <v>46161</v>
      </c>
      <c r="B587" s="3">
        <v>1604357</v>
      </c>
      <c r="C587" s="3" t="s">
        <v>153</v>
      </c>
      <c r="D587" s="4">
        <v>20318393</v>
      </c>
      <c r="E587" s="3" t="s">
        <v>140</v>
      </c>
      <c r="F587" s="4">
        <v>1</v>
      </c>
      <c r="G587" s="5">
        <v>16.5</v>
      </c>
      <c r="H587" s="5">
        <f t="shared" si="9"/>
        <v>16.5</v>
      </c>
    </row>
    <row r="588" customFormat="1" hidden="1" spans="1:8">
      <c r="A588" s="2">
        <v>46161</v>
      </c>
      <c r="B588" s="3">
        <v>1604406</v>
      </c>
      <c r="C588" s="3" t="s">
        <v>150</v>
      </c>
      <c r="D588" s="4">
        <v>20312966</v>
      </c>
      <c r="E588" s="3" t="s">
        <v>258</v>
      </c>
      <c r="F588" s="4">
        <v>1</v>
      </c>
      <c r="G588" s="5">
        <v>159.5</v>
      </c>
      <c r="H588" s="5">
        <f t="shared" si="9"/>
        <v>159.5</v>
      </c>
    </row>
    <row r="589" customFormat="1" hidden="1" spans="1:8">
      <c r="A589" s="2">
        <v>46161</v>
      </c>
      <c r="B589" s="3">
        <v>1604406</v>
      </c>
      <c r="C589" s="3" t="s">
        <v>150</v>
      </c>
      <c r="D589" s="4">
        <v>20312965</v>
      </c>
      <c r="E589" s="3" t="s">
        <v>112</v>
      </c>
      <c r="F589" s="4">
        <v>5</v>
      </c>
      <c r="G589" s="5">
        <v>137.5</v>
      </c>
      <c r="H589" s="5">
        <f t="shared" si="9"/>
        <v>687.5</v>
      </c>
    </row>
    <row r="590" customFormat="1" hidden="1" spans="1:8">
      <c r="A590" s="2">
        <v>46161</v>
      </c>
      <c r="B590" s="3">
        <v>1604406</v>
      </c>
      <c r="C590" s="3" t="s">
        <v>150</v>
      </c>
      <c r="D590" s="4">
        <v>20312967</v>
      </c>
      <c r="E590" s="3" t="s">
        <v>289</v>
      </c>
      <c r="F590" s="4">
        <v>5</v>
      </c>
      <c r="G590" s="5">
        <v>176</v>
      </c>
      <c r="H590" s="5">
        <f t="shared" si="9"/>
        <v>880</v>
      </c>
    </row>
    <row r="591" customFormat="1" hidden="1" spans="1:8">
      <c r="A591" s="2">
        <v>46161</v>
      </c>
      <c r="B591" s="3">
        <v>1604406</v>
      </c>
      <c r="C591" s="3" t="s">
        <v>150</v>
      </c>
      <c r="D591" s="4">
        <v>20424417</v>
      </c>
      <c r="E591" s="3" t="s">
        <v>312</v>
      </c>
      <c r="F591" s="4">
        <v>1</v>
      </c>
      <c r="G591" s="5">
        <v>66</v>
      </c>
      <c r="H591" s="5">
        <f t="shared" si="9"/>
        <v>66</v>
      </c>
    </row>
    <row r="592" customFormat="1" hidden="1" spans="1:8">
      <c r="A592" s="2">
        <v>46161</v>
      </c>
      <c r="B592" s="3">
        <v>1604406</v>
      </c>
      <c r="C592" s="3" t="s">
        <v>153</v>
      </c>
      <c r="D592" s="4">
        <v>20318334</v>
      </c>
      <c r="E592" s="3" t="s">
        <v>186</v>
      </c>
      <c r="F592" s="4">
        <v>1</v>
      </c>
      <c r="G592" s="5">
        <v>16.5</v>
      </c>
      <c r="H592" s="5">
        <f t="shared" si="9"/>
        <v>16.5</v>
      </c>
    </row>
    <row r="593" customFormat="1" hidden="1" spans="1:8">
      <c r="A593" s="2">
        <v>46161</v>
      </c>
      <c r="B593" s="3">
        <v>1604406</v>
      </c>
      <c r="C593" s="3" t="s">
        <v>153</v>
      </c>
      <c r="D593" s="4">
        <v>20318380</v>
      </c>
      <c r="E593" s="3" t="s">
        <v>232</v>
      </c>
      <c r="F593" s="4">
        <v>2</v>
      </c>
      <c r="G593" s="5">
        <v>16.5</v>
      </c>
      <c r="H593" s="5">
        <f t="shared" si="9"/>
        <v>33</v>
      </c>
    </row>
    <row r="594" customFormat="1" hidden="1" spans="1:8">
      <c r="A594" s="2">
        <v>46161</v>
      </c>
      <c r="B594" s="3">
        <v>1604406</v>
      </c>
      <c r="C594" s="3" t="s">
        <v>153</v>
      </c>
      <c r="D594" s="4">
        <v>20321250</v>
      </c>
      <c r="E594" s="3" t="s">
        <v>259</v>
      </c>
      <c r="F594" s="4">
        <v>1</v>
      </c>
      <c r="G594" s="5">
        <v>16.5</v>
      </c>
      <c r="H594" s="5">
        <f t="shared" si="9"/>
        <v>16.5</v>
      </c>
    </row>
    <row r="595" customFormat="1" hidden="1" spans="1:8">
      <c r="A595" s="2">
        <v>46161</v>
      </c>
      <c r="B595" s="3">
        <v>1604406</v>
      </c>
      <c r="C595" s="3" t="s">
        <v>153</v>
      </c>
      <c r="D595" s="4">
        <v>20383164</v>
      </c>
      <c r="E595" s="3" t="s">
        <v>273</v>
      </c>
      <c r="F595" s="4">
        <v>1</v>
      </c>
      <c r="G595" s="5">
        <v>22</v>
      </c>
      <c r="H595" s="5">
        <f t="shared" si="9"/>
        <v>22</v>
      </c>
    </row>
    <row r="596" customFormat="1" hidden="1" spans="1:8">
      <c r="A596" s="2">
        <v>46161</v>
      </c>
      <c r="B596" s="3">
        <v>1604406</v>
      </c>
      <c r="C596" s="3" t="s">
        <v>153</v>
      </c>
      <c r="D596" s="4">
        <v>20318389</v>
      </c>
      <c r="E596" s="3" t="s">
        <v>302</v>
      </c>
      <c r="F596" s="4">
        <v>1</v>
      </c>
      <c r="G596" s="5">
        <v>16.5</v>
      </c>
      <c r="H596" s="5">
        <f t="shared" si="9"/>
        <v>16.5</v>
      </c>
    </row>
    <row r="597" customFormat="1" hidden="1" spans="1:8">
      <c r="A597" s="2">
        <v>46161</v>
      </c>
      <c r="B597" s="3">
        <v>1604406</v>
      </c>
      <c r="C597" s="3" t="s">
        <v>153</v>
      </c>
      <c r="D597" s="4">
        <v>20318336</v>
      </c>
      <c r="E597" s="3" t="s">
        <v>303</v>
      </c>
      <c r="F597" s="4">
        <v>5</v>
      </c>
      <c r="G597" s="5">
        <v>16.5</v>
      </c>
      <c r="H597" s="5">
        <f t="shared" si="9"/>
        <v>82.5</v>
      </c>
    </row>
    <row r="598" customFormat="1" hidden="1" spans="1:8">
      <c r="A598" s="2">
        <v>46161</v>
      </c>
      <c r="B598" s="3">
        <v>1604406</v>
      </c>
      <c r="C598" s="3" t="s">
        <v>153</v>
      </c>
      <c r="D598" s="4">
        <v>20318342</v>
      </c>
      <c r="E598" s="3" t="s">
        <v>304</v>
      </c>
      <c r="F598" s="4">
        <v>1</v>
      </c>
      <c r="G598" s="5">
        <v>16.5</v>
      </c>
      <c r="H598" s="5">
        <f t="shared" si="9"/>
        <v>16.5</v>
      </c>
    </row>
    <row r="599" customFormat="1" hidden="1" spans="1:8">
      <c r="A599" s="2">
        <v>46161</v>
      </c>
      <c r="B599" s="3">
        <v>1604406</v>
      </c>
      <c r="C599" s="3" t="s">
        <v>153</v>
      </c>
      <c r="D599" s="4">
        <v>20318393</v>
      </c>
      <c r="E599" s="3" t="s">
        <v>140</v>
      </c>
      <c r="F599" s="4">
        <v>1</v>
      </c>
      <c r="G599" s="5">
        <v>16.5</v>
      </c>
      <c r="H599" s="5">
        <f t="shared" si="9"/>
        <v>16.5</v>
      </c>
    </row>
    <row r="600" customFormat="1" hidden="1" spans="1:8">
      <c r="A600" s="2">
        <v>46161</v>
      </c>
      <c r="B600" s="3">
        <v>1604409</v>
      </c>
      <c r="C600" s="3" t="s">
        <v>156</v>
      </c>
      <c r="D600" s="4">
        <v>20330757</v>
      </c>
      <c r="E600" s="3" t="s">
        <v>288</v>
      </c>
      <c r="F600" s="4">
        <v>2</v>
      </c>
      <c r="G600" s="5">
        <v>35</v>
      </c>
      <c r="H600" s="5">
        <f t="shared" si="9"/>
        <v>70</v>
      </c>
    </row>
    <row r="601" customFormat="1" hidden="1" spans="1:8">
      <c r="A601" s="2">
        <v>46161</v>
      </c>
      <c r="B601" s="3">
        <v>1604464</v>
      </c>
      <c r="C601" s="3" t="s">
        <v>150</v>
      </c>
      <c r="D601" s="4">
        <v>20318372</v>
      </c>
      <c r="E601" s="3" t="s">
        <v>242</v>
      </c>
      <c r="F601" s="4">
        <v>1</v>
      </c>
      <c r="G601" s="5">
        <v>286</v>
      </c>
      <c r="H601" s="5">
        <f t="shared" si="9"/>
        <v>286</v>
      </c>
    </row>
    <row r="602" customFormat="1" hidden="1" spans="1:8">
      <c r="A602" s="2">
        <v>46161</v>
      </c>
      <c r="B602" s="3">
        <v>1604464</v>
      </c>
      <c r="C602" s="3" t="s">
        <v>150</v>
      </c>
      <c r="D602" s="4">
        <v>20312966</v>
      </c>
      <c r="E602" s="3" t="s">
        <v>258</v>
      </c>
      <c r="F602" s="4">
        <v>2</v>
      </c>
      <c r="G602" s="5">
        <v>159.5</v>
      </c>
      <c r="H602" s="5">
        <f t="shared" si="9"/>
        <v>319</v>
      </c>
    </row>
    <row r="603" customFormat="1" hidden="1" spans="1:8">
      <c r="A603" s="2">
        <v>46161</v>
      </c>
      <c r="B603" s="3">
        <v>1604464</v>
      </c>
      <c r="C603" s="3" t="s">
        <v>150</v>
      </c>
      <c r="D603" s="4">
        <v>20312965</v>
      </c>
      <c r="E603" s="3" t="s">
        <v>112</v>
      </c>
      <c r="F603" s="4">
        <v>4</v>
      </c>
      <c r="G603" s="5">
        <v>137.5</v>
      </c>
      <c r="H603" s="5">
        <f t="shared" si="9"/>
        <v>550</v>
      </c>
    </row>
    <row r="604" customFormat="1" hidden="1" spans="1:8">
      <c r="A604" s="2">
        <v>46161</v>
      </c>
      <c r="B604" s="3">
        <v>1604464</v>
      </c>
      <c r="C604" s="3" t="s">
        <v>150</v>
      </c>
      <c r="D604" s="4">
        <v>20312967</v>
      </c>
      <c r="E604" s="3" t="s">
        <v>289</v>
      </c>
      <c r="F604" s="4">
        <v>3</v>
      </c>
      <c r="G604" s="5">
        <v>176</v>
      </c>
      <c r="H604" s="5">
        <f t="shared" si="9"/>
        <v>528</v>
      </c>
    </row>
    <row r="605" customFormat="1" hidden="1" spans="1:8">
      <c r="A605" s="2">
        <v>46161</v>
      </c>
      <c r="B605" s="3">
        <v>1604464</v>
      </c>
      <c r="C605" s="3" t="s">
        <v>151</v>
      </c>
      <c r="D605" s="4">
        <v>20318363</v>
      </c>
      <c r="E605" s="3" t="s">
        <v>94</v>
      </c>
      <c r="F605" s="4">
        <v>2</v>
      </c>
      <c r="G605" s="5">
        <v>8</v>
      </c>
      <c r="H605" s="5">
        <f t="shared" si="9"/>
        <v>16</v>
      </c>
    </row>
    <row r="606" customFormat="1" hidden="1" spans="1:8">
      <c r="A606" s="2">
        <v>46161</v>
      </c>
      <c r="B606" s="3">
        <v>1604464</v>
      </c>
      <c r="C606" s="3" t="s">
        <v>156</v>
      </c>
      <c r="D606" s="4">
        <v>20322235</v>
      </c>
      <c r="E606" s="3" t="s">
        <v>111</v>
      </c>
      <c r="F606" s="4">
        <v>18</v>
      </c>
      <c r="G606" s="5">
        <v>2.5</v>
      </c>
      <c r="H606" s="5">
        <f t="shared" si="9"/>
        <v>45</v>
      </c>
    </row>
    <row r="607" customFormat="1" hidden="1" spans="1:8">
      <c r="A607" s="2">
        <v>46161</v>
      </c>
      <c r="B607" s="3">
        <v>1604464</v>
      </c>
      <c r="C607" s="3" t="s">
        <v>156</v>
      </c>
      <c r="D607" s="4">
        <v>20323503</v>
      </c>
      <c r="E607" s="3" t="s">
        <v>260</v>
      </c>
      <c r="F607" s="4">
        <v>1</v>
      </c>
      <c r="G607" s="5">
        <v>4</v>
      </c>
      <c r="H607" s="5">
        <f t="shared" si="9"/>
        <v>4</v>
      </c>
    </row>
    <row r="608" customFormat="1" hidden="1" spans="1:8">
      <c r="A608" s="2">
        <v>46161</v>
      </c>
      <c r="B608" s="3">
        <v>1604464</v>
      </c>
      <c r="C608" s="3" t="s">
        <v>156</v>
      </c>
      <c r="D608" s="4">
        <v>20330757</v>
      </c>
      <c r="E608" s="3" t="s">
        <v>288</v>
      </c>
      <c r="F608" s="4">
        <v>2</v>
      </c>
      <c r="G608" s="5">
        <v>35</v>
      </c>
      <c r="H608" s="5">
        <f t="shared" si="9"/>
        <v>70</v>
      </c>
    </row>
    <row r="609" customFormat="1" hidden="1" spans="1:8">
      <c r="A609" s="2">
        <v>46161</v>
      </c>
      <c r="B609" s="3">
        <v>1604464</v>
      </c>
      <c r="C609" s="3" t="s">
        <v>156</v>
      </c>
      <c r="D609" s="4">
        <v>20402355</v>
      </c>
      <c r="E609" s="3" t="s">
        <v>291</v>
      </c>
      <c r="F609" s="4">
        <v>1</v>
      </c>
      <c r="G609" s="5">
        <v>25</v>
      </c>
      <c r="H609" s="5">
        <f t="shared" si="9"/>
        <v>25</v>
      </c>
    </row>
    <row r="610" customFormat="1" hidden="1" spans="1:8">
      <c r="A610" s="2">
        <v>46161</v>
      </c>
      <c r="B610" s="3">
        <v>1604464</v>
      </c>
      <c r="C610" s="3" t="s">
        <v>152</v>
      </c>
      <c r="D610" s="4">
        <v>20408950</v>
      </c>
      <c r="E610" s="3" t="s">
        <v>295</v>
      </c>
      <c r="F610" s="4">
        <v>1</v>
      </c>
      <c r="G610" s="5">
        <v>60.5</v>
      </c>
      <c r="H610" s="5">
        <f t="shared" si="9"/>
        <v>60.5</v>
      </c>
    </row>
    <row r="611" customFormat="1" hidden="1" spans="1:8">
      <c r="A611" s="2">
        <v>46161</v>
      </c>
      <c r="B611" s="3">
        <v>1604464</v>
      </c>
      <c r="C611" s="3" t="s">
        <v>153</v>
      </c>
      <c r="D611" s="4">
        <v>20318334</v>
      </c>
      <c r="E611" s="3" t="s">
        <v>186</v>
      </c>
      <c r="F611" s="4">
        <v>2</v>
      </c>
      <c r="G611" s="5">
        <v>16.5</v>
      </c>
      <c r="H611" s="5">
        <f t="shared" si="9"/>
        <v>33</v>
      </c>
    </row>
    <row r="612" customFormat="1" hidden="1" spans="1:8">
      <c r="A612" s="2">
        <v>46161</v>
      </c>
      <c r="B612" s="3">
        <v>1604464</v>
      </c>
      <c r="C612" s="3" t="s">
        <v>153</v>
      </c>
      <c r="D612" s="4">
        <v>20407575</v>
      </c>
      <c r="E612" s="3" t="s">
        <v>284</v>
      </c>
      <c r="F612" s="4">
        <v>1</v>
      </c>
      <c r="G612" s="5">
        <v>16.5</v>
      </c>
      <c r="H612" s="5">
        <f t="shared" si="9"/>
        <v>16.5</v>
      </c>
    </row>
    <row r="613" customFormat="1" hidden="1" spans="1:8">
      <c r="A613" s="2">
        <v>46161</v>
      </c>
      <c r="B613" s="3">
        <v>1604466</v>
      </c>
      <c r="C613" s="3" t="s">
        <v>150</v>
      </c>
      <c r="D613" s="4">
        <v>20312966</v>
      </c>
      <c r="E613" s="3" t="s">
        <v>258</v>
      </c>
      <c r="F613" s="4">
        <v>7</v>
      </c>
      <c r="G613" s="5">
        <v>159.5</v>
      </c>
      <c r="H613" s="5">
        <f t="shared" si="9"/>
        <v>1116.5</v>
      </c>
    </row>
    <row r="614" customFormat="1" hidden="1" spans="1:8">
      <c r="A614" s="2">
        <v>46161</v>
      </c>
      <c r="B614" s="3">
        <v>1604466</v>
      </c>
      <c r="C614" s="3" t="s">
        <v>150</v>
      </c>
      <c r="D614" s="4">
        <v>20312965</v>
      </c>
      <c r="E614" s="3" t="s">
        <v>112</v>
      </c>
      <c r="F614" s="4">
        <v>2</v>
      </c>
      <c r="G614" s="5">
        <v>137.5</v>
      </c>
      <c r="H614" s="5">
        <f t="shared" si="9"/>
        <v>275</v>
      </c>
    </row>
    <row r="615" customFormat="1" hidden="1" spans="1:8">
      <c r="A615" s="2">
        <v>46161</v>
      </c>
      <c r="B615" s="3">
        <v>1604466</v>
      </c>
      <c r="C615" s="3" t="s">
        <v>150</v>
      </c>
      <c r="D615" s="4">
        <v>20312967</v>
      </c>
      <c r="E615" s="3" t="s">
        <v>289</v>
      </c>
      <c r="F615" s="4">
        <v>5</v>
      </c>
      <c r="G615" s="5">
        <v>176</v>
      </c>
      <c r="H615" s="5">
        <f t="shared" si="9"/>
        <v>880</v>
      </c>
    </row>
    <row r="616" customFormat="1" hidden="1" spans="1:8">
      <c r="A616" s="2">
        <v>46161</v>
      </c>
      <c r="B616" s="3">
        <v>1604466</v>
      </c>
      <c r="C616" s="3" t="s">
        <v>150</v>
      </c>
      <c r="D616" s="4">
        <v>20424417</v>
      </c>
      <c r="E616" s="3" t="s">
        <v>312</v>
      </c>
      <c r="F616" s="4">
        <v>1</v>
      </c>
      <c r="G616" s="5">
        <v>66</v>
      </c>
      <c r="H616" s="5">
        <f t="shared" si="9"/>
        <v>66</v>
      </c>
    </row>
    <row r="617" customFormat="1" hidden="1" spans="1:8">
      <c r="A617" s="2">
        <v>46161</v>
      </c>
      <c r="B617" s="3">
        <v>1604466</v>
      </c>
      <c r="C617" s="3" t="s">
        <v>153</v>
      </c>
      <c r="D617" s="4">
        <v>20363041</v>
      </c>
      <c r="E617" s="3" t="s">
        <v>187</v>
      </c>
      <c r="F617" s="4">
        <v>1</v>
      </c>
      <c r="G617" s="5">
        <v>16.5</v>
      </c>
      <c r="H617" s="5">
        <f t="shared" si="9"/>
        <v>16.5</v>
      </c>
    </row>
    <row r="618" customFormat="1" hidden="1" spans="1:8">
      <c r="A618" s="2">
        <v>46161</v>
      </c>
      <c r="B618" s="3">
        <v>1604466</v>
      </c>
      <c r="C618" s="3" t="s">
        <v>153</v>
      </c>
      <c r="D618" s="4">
        <v>20014824</v>
      </c>
      <c r="E618" s="3" t="s">
        <v>85</v>
      </c>
      <c r="F618" s="4">
        <v>1</v>
      </c>
      <c r="G618" s="5">
        <v>16.5</v>
      </c>
      <c r="H618" s="5">
        <f t="shared" si="9"/>
        <v>16.5</v>
      </c>
    </row>
    <row r="619" customFormat="1" hidden="1" spans="1:8">
      <c r="A619" s="2">
        <v>46161</v>
      </c>
      <c r="B619" s="3">
        <v>1604466</v>
      </c>
      <c r="C619" s="3" t="s">
        <v>153</v>
      </c>
      <c r="D619" s="4">
        <v>20318344</v>
      </c>
      <c r="E619" s="3" t="s">
        <v>217</v>
      </c>
      <c r="F619" s="4">
        <v>1</v>
      </c>
      <c r="G619" s="5">
        <v>16.5</v>
      </c>
      <c r="H619" s="5">
        <f t="shared" si="9"/>
        <v>16.5</v>
      </c>
    </row>
    <row r="620" customFormat="1" hidden="1" spans="1:8">
      <c r="A620" s="2">
        <v>46161</v>
      </c>
      <c r="B620" s="3">
        <v>1604466</v>
      </c>
      <c r="C620" s="3" t="s">
        <v>153</v>
      </c>
      <c r="D620" s="4">
        <v>20369096</v>
      </c>
      <c r="E620" s="3" t="s">
        <v>224</v>
      </c>
      <c r="F620" s="4">
        <v>1</v>
      </c>
      <c r="G620" s="5">
        <v>16.5</v>
      </c>
      <c r="H620" s="5">
        <f t="shared" si="9"/>
        <v>16.5</v>
      </c>
    </row>
    <row r="621" customFormat="1" hidden="1" spans="1:8">
      <c r="A621" s="2">
        <v>46161</v>
      </c>
      <c r="B621" s="3">
        <v>1604466</v>
      </c>
      <c r="C621" s="3" t="s">
        <v>153</v>
      </c>
      <c r="D621" s="4">
        <v>20318378</v>
      </c>
      <c r="E621" s="3" t="s">
        <v>231</v>
      </c>
      <c r="F621" s="4">
        <v>2</v>
      </c>
      <c r="G621" s="5">
        <v>16.5</v>
      </c>
      <c r="H621" s="5">
        <f t="shared" si="9"/>
        <v>33</v>
      </c>
    </row>
    <row r="622" customFormat="1" hidden="1" spans="1:8">
      <c r="A622" s="2">
        <v>46161</v>
      </c>
      <c r="B622" s="3">
        <v>1604466</v>
      </c>
      <c r="C622" s="3" t="s">
        <v>153</v>
      </c>
      <c r="D622" s="4">
        <v>20318380</v>
      </c>
      <c r="E622" s="3" t="s">
        <v>232</v>
      </c>
      <c r="F622" s="4">
        <v>1</v>
      </c>
      <c r="G622" s="5">
        <v>16.5</v>
      </c>
      <c r="H622" s="5">
        <f t="shared" si="9"/>
        <v>16.5</v>
      </c>
    </row>
    <row r="623" customFormat="1" hidden="1" spans="1:8">
      <c r="A623" s="2">
        <v>46161</v>
      </c>
      <c r="B623" s="3">
        <v>1604466</v>
      </c>
      <c r="C623" s="3" t="s">
        <v>153</v>
      </c>
      <c r="D623" s="4">
        <v>20321250</v>
      </c>
      <c r="E623" s="3" t="s">
        <v>259</v>
      </c>
      <c r="F623" s="4">
        <v>1</v>
      </c>
      <c r="G623" s="5">
        <v>16.5</v>
      </c>
      <c r="H623" s="5">
        <f t="shared" si="9"/>
        <v>16.5</v>
      </c>
    </row>
    <row r="624" customFormat="1" hidden="1" spans="1:8">
      <c r="A624" s="2">
        <v>46161</v>
      </c>
      <c r="B624" s="3">
        <v>1604466</v>
      </c>
      <c r="C624" s="3" t="s">
        <v>153</v>
      </c>
      <c r="D624" s="4">
        <v>20340289</v>
      </c>
      <c r="E624" s="3" t="s">
        <v>272</v>
      </c>
      <c r="F624" s="4">
        <v>2</v>
      </c>
      <c r="G624" s="5">
        <v>16.5</v>
      </c>
      <c r="H624" s="5">
        <f t="shared" si="9"/>
        <v>33</v>
      </c>
    </row>
    <row r="625" customFormat="1" hidden="1" spans="1:8">
      <c r="A625" s="2">
        <v>46161</v>
      </c>
      <c r="B625" s="3">
        <v>1604466</v>
      </c>
      <c r="C625" s="3" t="s">
        <v>153</v>
      </c>
      <c r="D625" s="4">
        <v>20383164</v>
      </c>
      <c r="E625" s="3" t="s">
        <v>273</v>
      </c>
      <c r="F625" s="4">
        <v>2</v>
      </c>
      <c r="G625" s="5">
        <v>22</v>
      </c>
      <c r="H625" s="5">
        <f t="shared" si="9"/>
        <v>44</v>
      </c>
    </row>
    <row r="626" customFormat="1" hidden="1" spans="1:8">
      <c r="A626" s="2">
        <v>46161</v>
      </c>
      <c r="B626" s="3">
        <v>1604466</v>
      </c>
      <c r="C626" s="3" t="s">
        <v>153</v>
      </c>
      <c r="D626" s="4">
        <v>20318336</v>
      </c>
      <c r="E626" s="3" t="s">
        <v>303</v>
      </c>
      <c r="F626" s="4">
        <v>3</v>
      </c>
      <c r="G626" s="5">
        <v>16.5</v>
      </c>
      <c r="H626" s="5">
        <f t="shared" si="9"/>
        <v>49.5</v>
      </c>
    </row>
    <row r="627" customFormat="1" hidden="1" spans="1:8">
      <c r="A627" s="2">
        <v>46161</v>
      </c>
      <c r="B627" s="3">
        <v>1604469</v>
      </c>
      <c r="C627" s="3" t="s">
        <v>150</v>
      </c>
      <c r="D627" s="4">
        <v>20321476</v>
      </c>
      <c r="E627" s="3" t="s">
        <v>161</v>
      </c>
      <c r="F627" s="4">
        <v>1</v>
      </c>
      <c r="G627" s="5">
        <v>55</v>
      </c>
      <c r="H627" s="5">
        <f t="shared" si="9"/>
        <v>55</v>
      </c>
    </row>
    <row r="628" customFormat="1" hidden="1" spans="1:8">
      <c r="A628" s="2">
        <v>46161</v>
      </c>
      <c r="B628" s="3">
        <v>1604472</v>
      </c>
      <c r="C628" s="3" t="s">
        <v>150</v>
      </c>
      <c r="D628" s="4">
        <v>20380117</v>
      </c>
      <c r="E628" s="3" t="s">
        <v>225</v>
      </c>
      <c r="F628" s="4">
        <v>1</v>
      </c>
      <c r="G628" s="5">
        <v>49.5</v>
      </c>
      <c r="H628" s="5">
        <f t="shared" si="9"/>
        <v>49.5</v>
      </c>
    </row>
    <row r="629" customFormat="1" hidden="1" spans="1:8">
      <c r="A629" s="2">
        <v>46161</v>
      </c>
      <c r="B629" s="3">
        <v>1604472</v>
      </c>
      <c r="C629" s="3" t="s">
        <v>150</v>
      </c>
      <c r="D629" s="4">
        <v>20312966</v>
      </c>
      <c r="E629" s="3" t="s">
        <v>258</v>
      </c>
      <c r="F629" s="4">
        <v>5</v>
      </c>
      <c r="G629" s="5">
        <v>159.5</v>
      </c>
      <c r="H629" s="5">
        <f t="shared" si="9"/>
        <v>797.5</v>
      </c>
    </row>
    <row r="630" customFormat="1" hidden="1" spans="1:8">
      <c r="A630" s="2">
        <v>46161</v>
      </c>
      <c r="B630" s="3">
        <v>1604472</v>
      </c>
      <c r="C630" s="3" t="s">
        <v>150</v>
      </c>
      <c r="D630" s="4">
        <v>20312965</v>
      </c>
      <c r="E630" s="3" t="s">
        <v>112</v>
      </c>
      <c r="F630" s="4">
        <v>1</v>
      </c>
      <c r="G630" s="5">
        <v>137.5</v>
      </c>
      <c r="H630" s="5">
        <f t="shared" si="9"/>
        <v>137.5</v>
      </c>
    </row>
    <row r="631" customFormat="1" hidden="1" spans="1:8">
      <c r="A631" s="2">
        <v>46161</v>
      </c>
      <c r="B631" s="3">
        <v>1604472</v>
      </c>
      <c r="C631" s="3" t="s">
        <v>150</v>
      </c>
      <c r="D631" s="4">
        <v>20312967</v>
      </c>
      <c r="E631" s="3" t="s">
        <v>289</v>
      </c>
      <c r="F631" s="4">
        <v>6</v>
      </c>
      <c r="G631" s="5">
        <v>176</v>
      </c>
      <c r="H631" s="5">
        <f t="shared" si="9"/>
        <v>1056</v>
      </c>
    </row>
    <row r="632" customFormat="1" hidden="1" spans="1:8">
      <c r="A632" s="2">
        <v>46161</v>
      </c>
      <c r="B632" s="3">
        <v>1604472</v>
      </c>
      <c r="C632" s="3" t="s">
        <v>150</v>
      </c>
      <c r="D632" s="4">
        <v>20424417</v>
      </c>
      <c r="E632" s="3" t="s">
        <v>312</v>
      </c>
      <c r="F632" s="4">
        <v>2</v>
      </c>
      <c r="G632" s="5">
        <v>66</v>
      </c>
      <c r="H632" s="5">
        <f t="shared" si="9"/>
        <v>132</v>
      </c>
    </row>
    <row r="633" customFormat="1" ht="25.5" hidden="1" spans="1:8">
      <c r="A633" s="2">
        <v>46161</v>
      </c>
      <c r="B633" s="3">
        <v>1604472</v>
      </c>
      <c r="C633" s="3" t="s">
        <v>154</v>
      </c>
      <c r="D633" s="4">
        <v>20326338</v>
      </c>
      <c r="E633" s="3" t="s">
        <v>269</v>
      </c>
      <c r="F633" s="4">
        <v>1</v>
      </c>
      <c r="G633" s="5">
        <v>55</v>
      </c>
      <c r="H633" s="5">
        <f t="shared" si="9"/>
        <v>55</v>
      </c>
    </row>
    <row r="634" customFormat="1" hidden="1" spans="1:8">
      <c r="A634" s="2">
        <v>46161</v>
      </c>
      <c r="B634" s="3">
        <v>1604472</v>
      </c>
      <c r="C634" s="3" t="s">
        <v>152</v>
      </c>
      <c r="D634" s="4">
        <v>20366064</v>
      </c>
      <c r="E634" s="3" t="s">
        <v>195</v>
      </c>
      <c r="F634" s="4">
        <v>1</v>
      </c>
      <c r="G634" s="5">
        <v>71.5</v>
      </c>
      <c r="H634" s="5">
        <f t="shared" si="9"/>
        <v>71.5</v>
      </c>
    </row>
    <row r="635" customFormat="1" hidden="1" spans="1:8">
      <c r="A635" s="2">
        <v>46161</v>
      </c>
      <c r="B635" s="3">
        <v>1604472</v>
      </c>
      <c r="C635" s="3" t="s">
        <v>153</v>
      </c>
      <c r="D635" s="4">
        <v>20321257</v>
      </c>
      <c r="E635" s="3" t="s">
        <v>68</v>
      </c>
      <c r="F635" s="4">
        <v>2</v>
      </c>
      <c r="G635" s="5">
        <v>16.5</v>
      </c>
      <c r="H635" s="5">
        <f t="shared" si="9"/>
        <v>33</v>
      </c>
    </row>
    <row r="636" customFormat="1" hidden="1" spans="1:8">
      <c r="A636" s="2">
        <v>46161</v>
      </c>
      <c r="B636" s="3">
        <v>1604472</v>
      </c>
      <c r="C636" s="3" t="s">
        <v>153</v>
      </c>
      <c r="D636" s="4">
        <v>20343399</v>
      </c>
      <c r="E636" s="3" t="s">
        <v>228</v>
      </c>
      <c r="F636" s="4">
        <v>1</v>
      </c>
      <c r="G636" s="5">
        <v>33</v>
      </c>
      <c r="H636" s="5">
        <f t="shared" si="9"/>
        <v>33</v>
      </c>
    </row>
    <row r="637" customFormat="1" hidden="1" spans="1:8">
      <c r="A637" s="2">
        <v>46161</v>
      </c>
      <c r="B637" s="3">
        <v>1604472</v>
      </c>
      <c r="C637" s="3" t="s">
        <v>153</v>
      </c>
      <c r="D637" s="4">
        <v>20318380</v>
      </c>
      <c r="E637" s="3" t="s">
        <v>232</v>
      </c>
      <c r="F637" s="4">
        <v>2</v>
      </c>
      <c r="G637" s="5">
        <v>16.5</v>
      </c>
      <c r="H637" s="5">
        <f t="shared" si="9"/>
        <v>33</v>
      </c>
    </row>
    <row r="638" customFormat="1" hidden="1" spans="1:8">
      <c r="A638" s="2">
        <v>46161</v>
      </c>
      <c r="B638" s="3">
        <v>1604472</v>
      </c>
      <c r="C638" s="3" t="s">
        <v>153</v>
      </c>
      <c r="D638" s="4">
        <v>20318340</v>
      </c>
      <c r="E638" s="3" t="s">
        <v>240</v>
      </c>
      <c r="F638" s="4">
        <v>1</v>
      </c>
      <c r="G638" s="5">
        <v>16.5</v>
      </c>
      <c r="H638" s="5">
        <f t="shared" si="9"/>
        <v>16.5</v>
      </c>
    </row>
    <row r="639" customFormat="1" hidden="1" spans="1:8">
      <c r="A639" s="2">
        <v>46161</v>
      </c>
      <c r="B639" s="3">
        <v>1604472</v>
      </c>
      <c r="C639" s="3" t="s">
        <v>153</v>
      </c>
      <c r="D639" s="4">
        <v>20321250</v>
      </c>
      <c r="E639" s="3" t="s">
        <v>259</v>
      </c>
      <c r="F639" s="4">
        <v>1</v>
      </c>
      <c r="G639" s="5">
        <v>16.5</v>
      </c>
      <c r="H639" s="5">
        <f t="shared" si="9"/>
        <v>16.5</v>
      </c>
    </row>
    <row r="640" customFormat="1" hidden="1" spans="1:8">
      <c r="A640" s="2">
        <v>46161</v>
      </c>
      <c r="B640" s="3">
        <v>1604472</v>
      </c>
      <c r="C640" s="3" t="s">
        <v>153</v>
      </c>
      <c r="D640" s="4">
        <v>20318342</v>
      </c>
      <c r="E640" s="3" t="s">
        <v>304</v>
      </c>
      <c r="F640" s="4">
        <v>1</v>
      </c>
      <c r="G640" s="5">
        <v>16.5</v>
      </c>
      <c r="H640" s="5">
        <f t="shared" si="9"/>
        <v>16.5</v>
      </c>
    </row>
    <row r="641" customFormat="1" hidden="1" spans="1:8">
      <c r="A641" s="2">
        <v>46161</v>
      </c>
      <c r="B641" s="3">
        <v>1604476</v>
      </c>
      <c r="C641" s="3" t="s">
        <v>150</v>
      </c>
      <c r="D641" s="4">
        <v>20321252</v>
      </c>
      <c r="E641" s="3" t="s">
        <v>162</v>
      </c>
      <c r="F641" s="4">
        <v>1</v>
      </c>
      <c r="G641" s="5">
        <v>49.5</v>
      </c>
      <c r="H641" s="5">
        <f t="shared" si="9"/>
        <v>49.5</v>
      </c>
    </row>
    <row r="642" customFormat="1" hidden="1" spans="1:8">
      <c r="A642" s="2">
        <v>46162</v>
      </c>
      <c r="B642" s="3">
        <v>1604677</v>
      </c>
      <c r="C642" s="3" t="s">
        <v>156</v>
      </c>
      <c r="D642" s="4">
        <v>20322243</v>
      </c>
      <c r="E642" s="3" t="s">
        <v>117</v>
      </c>
      <c r="F642" s="4">
        <v>3</v>
      </c>
      <c r="G642" s="5">
        <v>30</v>
      </c>
      <c r="H642" s="5">
        <f t="shared" ref="H642:H705" si="10">G642*F642</f>
        <v>90</v>
      </c>
    </row>
    <row r="643" customFormat="1" hidden="1" spans="1:8">
      <c r="A643" s="2">
        <v>46162</v>
      </c>
      <c r="B643" s="3">
        <v>1604677</v>
      </c>
      <c r="C643" s="3" t="s">
        <v>156</v>
      </c>
      <c r="D643" s="4">
        <v>20330757</v>
      </c>
      <c r="E643" s="3" t="s">
        <v>288</v>
      </c>
      <c r="F643" s="4">
        <v>3</v>
      </c>
      <c r="G643" s="5">
        <v>35</v>
      </c>
      <c r="H643" s="5">
        <f t="shared" si="10"/>
        <v>105</v>
      </c>
    </row>
    <row r="644" customFormat="1" hidden="1" spans="1:8">
      <c r="A644" s="2">
        <v>46162</v>
      </c>
      <c r="B644" s="3">
        <v>1604680</v>
      </c>
      <c r="C644" s="3" t="s">
        <v>150</v>
      </c>
      <c r="D644" s="4">
        <v>20321476</v>
      </c>
      <c r="E644" s="3" t="s">
        <v>161</v>
      </c>
      <c r="F644" s="4">
        <v>1</v>
      </c>
      <c r="G644" s="5">
        <v>55</v>
      </c>
      <c r="H644" s="5">
        <f t="shared" si="10"/>
        <v>55</v>
      </c>
    </row>
    <row r="645" customFormat="1" hidden="1" spans="1:8">
      <c r="A645" s="2">
        <v>46162</v>
      </c>
      <c r="B645" s="3">
        <v>1604680</v>
      </c>
      <c r="C645" s="3" t="s">
        <v>150</v>
      </c>
      <c r="D645" s="4">
        <v>20321252</v>
      </c>
      <c r="E645" s="3" t="s">
        <v>162</v>
      </c>
      <c r="F645" s="4">
        <v>1</v>
      </c>
      <c r="G645" s="5">
        <v>49.5</v>
      </c>
      <c r="H645" s="5">
        <f t="shared" si="10"/>
        <v>49.5</v>
      </c>
    </row>
    <row r="646" customFormat="1" hidden="1" spans="1:8">
      <c r="A646" s="2">
        <v>46162</v>
      </c>
      <c r="B646" s="3">
        <v>1604680</v>
      </c>
      <c r="C646" s="3" t="s">
        <v>150</v>
      </c>
      <c r="D646" s="4">
        <v>20321719</v>
      </c>
      <c r="E646" s="3" t="s">
        <v>163</v>
      </c>
      <c r="F646" s="4">
        <v>1</v>
      </c>
      <c r="G646" s="5">
        <v>49.5</v>
      </c>
      <c r="H646" s="5">
        <f t="shared" si="10"/>
        <v>49.5</v>
      </c>
    </row>
    <row r="647" customFormat="1" hidden="1" spans="1:8">
      <c r="A647" s="2">
        <v>46162</v>
      </c>
      <c r="B647" s="3">
        <v>1604680</v>
      </c>
      <c r="C647" s="3" t="s">
        <v>150</v>
      </c>
      <c r="D647" s="4">
        <v>20318404</v>
      </c>
      <c r="E647" s="3" t="s">
        <v>250</v>
      </c>
      <c r="F647" s="4">
        <v>1</v>
      </c>
      <c r="G647" s="5">
        <v>308</v>
      </c>
      <c r="H647" s="5">
        <f t="shared" si="10"/>
        <v>308</v>
      </c>
    </row>
    <row r="648" customFormat="1" hidden="1" spans="1:8">
      <c r="A648" s="2">
        <v>46162</v>
      </c>
      <c r="B648" s="3">
        <v>1604680</v>
      </c>
      <c r="C648" s="3" t="s">
        <v>150</v>
      </c>
      <c r="D648" s="4">
        <v>20312966</v>
      </c>
      <c r="E648" s="3" t="s">
        <v>258</v>
      </c>
      <c r="F648" s="4">
        <v>5</v>
      </c>
      <c r="G648" s="5">
        <v>159.5</v>
      </c>
      <c r="H648" s="5">
        <f t="shared" si="10"/>
        <v>797.5</v>
      </c>
    </row>
    <row r="649" customFormat="1" hidden="1" spans="1:8">
      <c r="A649" s="2">
        <v>46162</v>
      </c>
      <c r="B649" s="3">
        <v>1604680</v>
      </c>
      <c r="C649" s="3" t="s">
        <v>150</v>
      </c>
      <c r="D649" s="4">
        <v>20312965</v>
      </c>
      <c r="E649" s="3" t="s">
        <v>112</v>
      </c>
      <c r="F649" s="4">
        <v>5</v>
      </c>
      <c r="G649" s="5">
        <v>137.5</v>
      </c>
      <c r="H649" s="5">
        <f t="shared" si="10"/>
        <v>687.5</v>
      </c>
    </row>
    <row r="650" customFormat="1" hidden="1" spans="1:8">
      <c r="A650" s="2">
        <v>46162</v>
      </c>
      <c r="B650" s="3">
        <v>1604680</v>
      </c>
      <c r="C650" s="3" t="s">
        <v>150</v>
      </c>
      <c r="D650" s="4">
        <v>20312967</v>
      </c>
      <c r="E650" s="3" t="s">
        <v>289</v>
      </c>
      <c r="F650" s="4">
        <v>6</v>
      </c>
      <c r="G650" s="5">
        <v>176</v>
      </c>
      <c r="H650" s="5">
        <f t="shared" si="10"/>
        <v>1056</v>
      </c>
    </row>
    <row r="651" customFormat="1" hidden="1" spans="1:8">
      <c r="A651" s="2">
        <v>46162</v>
      </c>
      <c r="B651" s="3">
        <v>1604680</v>
      </c>
      <c r="C651" s="3" t="s">
        <v>151</v>
      </c>
      <c r="D651" s="4">
        <v>20318363</v>
      </c>
      <c r="E651" s="3" t="s">
        <v>94</v>
      </c>
      <c r="F651" s="4">
        <v>1</v>
      </c>
      <c r="G651" s="5">
        <v>8</v>
      </c>
      <c r="H651" s="5">
        <f t="shared" si="10"/>
        <v>8</v>
      </c>
    </row>
    <row r="652" customFormat="1" hidden="1" spans="1:8">
      <c r="A652" s="2">
        <v>46162</v>
      </c>
      <c r="B652" s="3">
        <v>1604680</v>
      </c>
      <c r="C652" s="3" t="s">
        <v>151</v>
      </c>
      <c r="D652" s="4">
        <v>20407037</v>
      </c>
      <c r="E652" s="3" t="s">
        <v>285</v>
      </c>
      <c r="F652" s="4">
        <v>1</v>
      </c>
      <c r="G652" s="5">
        <v>16.5</v>
      </c>
      <c r="H652" s="5">
        <f t="shared" si="10"/>
        <v>16.5</v>
      </c>
    </row>
    <row r="653" customFormat="1" hidden="1" spans="1:8">
      <c r="A653" s="2">
        <v>46162</v>
      </c>
      <c r="B653" s="3">
        <v>1604680</v>
      </c>
      <c r="C653" s="3" t="s">
        <v>156</v>
      </c>
      <c r="D653" s="4">
        <v>20322304</v>
      </c>
      <c r="E653" s="3" t="s">
        <v>275</v>
      </c>
      <c r="F653" s="4">
        <v>6</v>
      </c>
      <c r="G653" s="5">
        <v>25</v>
      </c>
      <c r="H653" s="5">
        <f t="shared" si="10"/>
        <v>150</v>
      </c>
    </row>
    <row r="654" customFormat="1" hidden="1" spans="1:8">
      <c r="A654" s="2">
        <v>46162</v>
      </c>
      <c r="B654" s="3">
        <v>1604680</v>
      </c>
      <c r="C654" s="3" t="s">
        <v>153</v>
      </c>
      <c r="D654" s="4">
        <v>20321257</v>
      </c>
      <c r="E654" s="3" t="s">
        <v>68</v>
      </c>
      <c r="F654" s="4">
        <v>8</v>
      </c>
      <c r="G654" s="5">
        <v>16.5</v>
      </c>
      <c r="H654" s="5">
        <f t="shared" si="10"/>
        <v>132</v>
      </c>
    </row>
    <row r="655" customFormat="1" hidden="1" spans="1:8">
      <c r="A655" s="2">
        <v>46162</v>
      </c>
      <c r="B655" s="3">
        <v>1604680</v>
      </c>
      <c r="C655" s="3" t="s">
        <v>153</v>
      </c>
      <c r="D655" s="4">
        <v>20318334</v>
      </c>
      <c r="E655" s="3" t="s">
        <v>186</v>
      </c>
      <c r="F655" s="4">
        <v>3</v>
      </c>
      <c r="G655" s="5">
        <v>16.5</v>
      </c>
      <c r="H655" s="5">
        <f t="shared" si="10"/>
        <v>49.5</v>
      </c>
    </row>
    <row r="656" customFormat="1" hidden="1" spans="1:8">
      <c r="A656" s="2">
        <v>46162</v>
      </c>
      <c r="B656" s="3">
        <v>1604680</v>
      </c>
      <c r="C656" s="3" t="s">
        <v>153</v>
      </c>
      <c r="D656" s="4">
        <v>20014824</v>
      </c>
      <c r="E656" s="3" t="s">
        <v>85</v>
      </c>
      <c r="F656" s="4">
        <v>1</v>
      </c>
      <c r="G656" s="5">
        <v>16.5</v>
      </c>
      <c r="H656" s="5">
        <f t="shared" si="10"/>
        <v>16.5</v>
      </c>
    </row>
    <row r="657" customFormat="1" hidden="1" spans="1:8">
      <c r="A657" s="2">
        <v>46162</v>
      </c>
      <c r="B657" s="3">
        <v>1604680</v>
      </c>
      <c r="C657" s="3" t="s">
        <v>153</v>
      </c>
      <c r="D657" s="4">
        <v>20318378</v>
      </c>
      <c r="E657" s="3" t="s">
        <v>231</v>
      </c>
      <c r="F657" s="4">
        <v>1</v>
      </c>
      <c r="G657" s="5">
        <v>16.5</v>
      </c>
      <c r="H657" s="5">
        <f t="shared" si="10"/>
        <v>16.5</v>
      </c>
    </row>
    <row r="658" customFormat="1" hidden="1" spans="1:8">
      <c r="A658" s="2">
        <v>46162</v>
      </c>
      <c r="B658" s="3">
        <v>1604680</v>
      </c>
      <c r="C658" s="3" t="s">
        <v>153</v>
      </c>
      <c r="D658" s="4">
        <v>20318340</v>
      </c>
      <c r="E658" s="3" t="s">
        <v>240</v>
      </c>
      <c r="F658" s="4">
        <v>2</v>
      </c>
      <c r="G658" s="5">
        <v>16.5</v>
      </c>
      <c r="H658" s="5">
        <f t="shared" si="10"/>
        <v>33</v>
      </c>
    </row>
    <row r="659" customFormat="1" hidden="1" spans="1:8">
      <c r="A659" s="2">
        <v>46162</v>
      </c>
      <c r="B659" s="3">
        <v>1604680</v>
      </c>
      <c r="C659" s="3" t="s">
        <v>153</v>
      </c>
      <c r="D659" s="4">
        <v>20321250</v>
      </c>
      <c r="E659" s="3" t="s">
        <v>259</v>
      </c>
      <c r="F659" s="4">
        <v>1</v>
      </c>
      <c r="G659" s="5">
        <v>16.5</v>
      </c>
      <c r="H659" s="5">
        <f t="shared" si="10"/>
        <v>16.5</v>
      </c>
    </row>
    <row r="660" customFormat="1" hidden="1" spans="1:8">
      <c r="A660" s="2">
        <v>46162</v>
      </c>
      <c r="B660" s="3">
        <v>1604680</v>
      </c>
      <c r="C660" s="3" t="s">
        <v>153</v>
      </c>
      <c r="D660" s="4">
        <v>20340289</v>
      </c>
      <c r="E660" s="3" t="s">
        <v>272</v>
      </c>
      <c r="F660" s="4">
        <v>2</v>
      </c>
      <c r="G660" s="5">
        <v>16.5</v>
      </c>
      <c r="H660" s="5">
        <f t="shared" si="10"/>
        <v>33</v>
      </c>
    </row>
    <row r="661" customFormat="1" hidden="1" spans="1:8">
      <c r="A661" s="2">
        <v>46162</v>
      </c>
      <c r="B661" s="3">
        <v>1604680</v>
      </c>
      <c r="C661" s="3" t="s">
        <v>153</v>
      </c>
      <c r="D661" s="4">
        <v>20318336</v>
      </c>
      <c r="E661" s="3" t="s">
        <v>303</v>
      </c>
      <c r="F661" s="4">
        <v>2</v>
      </c>
      <c r="G661" s="5">
        <v>16.5</v>
      </c>
      <c r="H661" s="5">
        <f t="shared" si="10"/>
        <v>33</v>
      </c>
    </row>
    <row r="662" customFormat="1" hidden="1" spans="1:8">
      <c r="A662" s="2">
        <v>46162</v>
      </c>
      <c r="B662" s="3">
        <v>1604680</v>
      </c>
      <c r="C662" s="3" t="s">
        <v>153</v>
      </c>
      <c r="D662" s="4">
        <v>20318342</v>
      </c>
      <c r="E662" s="3" t="s">
        <v>304</v>
      </c>
      <c r="F662" s="4">
        <v>1</v>
      </c>
      <c r="G662" s="5">
        <v>16.5</v>
      </c>
      <c r="H662" s="5">
        <f t="shared" si="10"/>
        <v>16.5</v>
      </c>
    </row>
    <row r="663" customFormat="1" hidden="1" spans="1:8">
      <c r="A663" s="2">
        <v>46162</v>
      </c>
      <c r="B663" s="3">
        <v>1604713</v>
      </c>
      <c r="C663" s="3" t="s">
        <v>150</v>
      </c>
      <c r="D663" s="4">
        <v>20312966</v>
      </c>
      <c r="E663" s="3" t="s">
        <v>258</v>
      </c>
      <c r="F663" s="4">
        <v>1</v>
      </c>
      <c r="G663" s="5">
        <v>159.5</v>
      </c>
      <c r="H663" s="5">
        <f t="shared" si="10"/>
        <v>159.5</v>
      </c>
    </row>
    <row r="664" customFormat="1" hidden="1" spans="1:8">
      <c r="A664" s="2">
        <v>46162</v>
      </c>
      <c r="B664" s="3">
        <v>1604713</v>
      </c>
      <c r="C664" s="3" t="s">
        <v>150</v>
      </c>
      <c r="D664" s="4">
        <v>20312965</v>
      </c>
      <c r="E664" s="3" t="s">
        <v>112</v>
      </c>
      <c r="F664" s="4">
        <v>2</v>
      </c>
      <c r="G664" s="5">
        <v>137.5</v>
      </c>
      <c r="H664" s="5">
        <f t="shared" si="10"/>
        <v>275</v>
      </c>
    </row>
    <row r="665" customFormat="1" hidden="1" spans="1:8">
      <c r="A665" s="2">
        <v>46162</v>
      </c>
      <c r="B665" s="3">
        <v>1604713</v>
      </c>
      <c r="C665" s="3" t="s">
        <v>150</v>
      </c>
      <c r="D665" s="4">
        <v>20312967</v>
      </c>
      <c r="E665" s="3" t="s">
        <v>289</v>
      </c>
      <c r="F665" s="4">
        <v>3</v>
      </c>
      <c r="G665" s="5">
        <v>176</v>
      </c>
      <c r="H665" s="5">
        <f t="shared" si="10"/>
        <v>528</v>
      </c>
    </row>
    <row r="666" customFormat="1" hidden="1" spans="1:8">
      <c r="A666" s="2">
        <v>46162</v>
      </c>
      <c r="B666" s="3">
        <v>1604713</v>
      </c>
      <c r="C666" s="3" t="s">
        <v>151</v>
      </c>
      <c r="D666" s="4">
        <v>20340288</v>
      </c>
      <c r="E666" s="3" t="s">
        <v>282</v>
      </c>
      <c r="F666" s="4">
        <v>1</v>
      </c>
      <c r="G666" s="5">
        <v>22</v>
      </c>
      <c r="H666" s="5">
        <f t="shared" si="10"/>
        <v>22</v>
      </c>
    </row>
    <row r="667" customFormat="1" hidden="1" spans="1:8">
      <c r="A667" s="2">
        <v>46162</v>
      </c>
      <c r="B667" s="3">
        <v>1604713</v>
      </c>
      <c r="C667" s="3" t="s">
        <v>156</v>
      </c>
      <c r="D667" s="4">
        <v>20322243</v>
      </c>
      <c r="E667" s="3" t="s">
        <v>117</v>
      </c>
      <c r="F667" s="4">
        <v>2</v>
      </c>
      <c r="G667" s="5">
        <v>30</v>
      </c>
      <c r="H667" s="5">
        <f t="shared" si="10"/>
        <v>60</v>
      </c>
    </row>
    <row r="668" customFormat="1" hidden="1" spans="1:8">
      <c r="A668" s="2">
        <v>46162</v>
      </c>
      <c r="B668" s="3">
        <v>1604713</v>
      </c>
      <c r="C668" s="3" t="s">
        <v>156</v>
      </c>
      <c r="D668" s="4">
        <v>20330757</v>
      </c>
      <c r="E668" s="3" t="s">
        <v>288</v>
      </c>
      <c r="F668" s="4">
        <v>4</v>
      </c>
      <c r="G668" s="5">
        <v>35</v>
      </c>
      <c r="H668" s="5">
        <f t="shared" si="10"/>
        <v>140</v>
      </c>
    </row>
    <row r="669" customFormat="1" hidden="1" spans="1:8">
      <c r="A669" s="2">
        <v>46162</v>
      </c>
      <c r="B669" s="3">
        <v>1604713</v>
      </c>
      <c r="C669" s="3" t="s">
        <v>153</v>
      </c>
      <c r="D669" s="4">
        <v>20321257</v>
      </c>
      <c r="E669" s="3" t="s">
        <v>68</v>
      </c>
      <c r="F669" s="4">
        <v>5</v>
      </c>
      <c r="G669" s="5">
        <v>16.5</v>
      </c>
      <c r="H669" s="5">
        <f t="shared" si="10"/>
        <v>82.5</v>
      </c>
    </row>
    <row r="670" customFormat="1" hidden="1" spans="1:8">
      <c r="A670" s="2">
        <v>46162</v>
      </c>
      <c r="B670" s="3">
        <v>1604713</v>
      </c>
      <c r="C670" s="3" t="s">
        <v>153</v>
      </c>
      <c r="D670" s="4">
        <v>20321250</v>
      </c>
      <c r="E670" s="3" t="s">
        <v>259</v>
      </c>
      <c r="F670" s="4">
        <v>1</v>
      </c>
      <c r="G670" s="5">
        <v>16.5</v>
      </c>
      <c r="H670" s="5">
        <f t="shared" si="10"/>
        <v>16.5</v>
      </c>
    </row>
    <row r="671" customFormat="1" hidden="1" spans="1:8">
      <c r="A671" s="2">
        <v>46162</v>
      </c>
      <c r="B671" s="3">
        <v>1604713</v>
      </c>
      <c r="C671" s="3" t="s">
        <v>153</v>
      </c>
      <c r="D671" s="4">
        <v>20340289</v>
      </c>
      <c r="E671" s="3" t="s">
        <v>272</v>
      </c>
      <c r="F671" s="4">
        <v>1</v>
      </c>
      <c r="G671" s="5">
        <v>16.5</v>
      </c>
      <c r="H671" s="5">
        <f t="shared" si="10"/>
        <v>16.5</v>
      </c>
    </row>
    <row r="672" customFormat="1" hidden="1" spans="1:8">
      <c r="A672" s="2">
        <v>46162</v>
      </c>
      <c r="B672" s="3">
        <v>1604713</v>
      </c>
      <c r="C672" s="3" t="s">
        <v>153</v>
      </c>
      <c r="D672" s="4">
        <v>20383164</v>
      </c>
      <c r="E672" s="3" t="s">
        <v>273</v>
      </c>
      <c r="F672" s="4">
        <v>2</v>
      </c>
      <c r="G672" s="5">
        <v>22</v>
      </c>
      <c r="H672" s="5">
        <f t="shared" si="10"/>
        <v>44</v>
      </c>
    </row>
    <row r="673" customFormat="1" hidden="1" spans="1:8">
      <c r="A673" s="2">
        <v>46162</v>
      </c>
      <c r="B673" s="3">
        <v>1604713</v>
      </c>
      <c r="C673" s="3" t="s">
        <v>153</v>
      </c>
      <c r="D673" s="4">
        <v>20318342</v>
      </c>
      <c r="E673" s="3" t="s">
        <v>304</v>
      </c>
      <c r="F673" s="4">
        <v>1</v>
      </c>
      <c r="G673" s="5">
        <v>16.5</v>
      </c>
      <c r="H673" s="5">
        <f t="shared" si="10"/>
        <v>16.5</v>
      </c>
    </row>
    <row r="674" customFormat="1" hidden="1" spans="1:8">
      <c r="A674" s="2">
        <v>46162</v>
      </c>
      <c r="B674" s="3">
        <v>1604725</v>
      </c>
      <c r="C674" s="3" t="s">
        <v>152</v>
      </c>
      <c r="D674" s="4">
        <v>20340286</v>
      </c>
      <c r="E674" s="3" t="s">
        <v>169</v>
      </c>
      <c r="F674" s="4">
        <v>1</v>
      </c>
      <c r="G674" s="5">
        <v>55</v>
      </c>
      <c r="H674" s="5">
        <f t="shared" si="10"/>
        <v>55</v>
      </c>
    </row>
    <row r="675" customFormat="1" hidden="1" spans="1:8">
      <c r="A675" s="2">
        <v>46162</v>
      </c>
      <c r="B675" s="3">
        <v>1604755</v>
      </c>
      <c r="C675" s="3" t="s">
        <v>150</v>
      </c>
      <c r="D675" s="4">
        <v>20312982</v>
      </c>
      <c r="E675" s="3" t="s">
        <v>174</v>
      </c>
      <c r="F675" s="4">
        <v>1</v>
      </c>
      <c r="G675" s="5">
        <v>214.5</v>
      </c>
      <c r="H675" s="5">
        <f t="shared" si="10"/>
        <v>214.5</v>
      </c>
    </row>
    <row r="676" customFormat="1" hidden="1" spans="1:8">
      <c r="A676" s="2">
        <v>46162</v>
      </c>
      <c r="B676" s="3">
        <v>1604755</v>
      </c>
      <c r="C676" s="3" t="s">
        <v>150</v>
      </c>
      <c r="D676" s="4">
        <v>20312966</v>
      </c>
      <c r="E676" s="3" t="s">
        <v>258</v>
      </c>
      <c r="F676" s="4">
        <v>1</v>
      </c>
      <c r="G676" s="5">
        <v>159.5</v>
      </c>
      <c r="H676" s="5">
        <f t="shared" si="10"/>
        <v>159.5</v>
      </c>
    </row>
    <row r="677" customFormat="1" hidden="1" spans="1:8">
      <c r="A677" s="2">
        <v>46162</v>
      </c>
      <c r="B677" s="3">
        <v>1604755</v>
      </c>
      <c r="C677" s="3" t="s">
        <v>150</v>
      </c>
      <c r="D677" s="4">
        <v>20312965</v>
      </c>
      <c r="E677" s="3" t="s">
        <v>112</v>
      </c>
      <c r="F677" s="4">
        <v>4</v>
      </c>
      <c r="G677" s="5">
        <v>137.5</v>
      </c>
      <c r="H677" s="5">
        <f t="shared" si="10"/>
        <v>550</v>
      </c>
    </row>
    <row r="678" customFormat="1" hidden="1" spans="1:8">
      <c r="A678" s="2">
        <v>46162</v>
      </c>
      <c r="B678" s="3">
        <v>1604755</v>
      </c>
      <c r="C678" s="3" t="s">
        <v>150</v>
      </c>
      <c r="D678" s="4">
        <v>20312967</v>
      </c>
      <c r="E678" s="3" t="s">
        <v>289</v>
      </c>
      <c r="F678" s="4">
        <v>5</v>
      </c>
      <c r="G678" s="5">
        <v>176</v>
      </c>
      <c r="H678" s="5">
        <f t="shared" si="10"/>
        <v>880</v>
      </c>
    </row>
    <row r="679" customFormat="1" hidden="1" spans="1:8">
      <c r="A679" s="2">
        <v>46162</v>
      </c>
      <c r="B679" s="3">
        <v>1604755</v>
      </c>
      <c r="C679" s="3" t="s">
        <v>153</v>
      </c>
      <c r="D679" s="4">
        <v>20318334</v>
      </c>
      <c r="E679" s="3" t="s">
        <v>186</v>
      </c>
      <c r="F679" s="4">
        <v>1</v>
      </c>
      <c r="G679" s="5">
        <v>16.5</v>
      </c>
      <c r="H679" s="5">
        <f t="shared" si="10"/>
        <v>16.5</v>
      </c>
    </row>
    <row r="680" customFormat="1" hidden="1" spans="1:8">
      <c r="A680" s="2">
        <v>46162</v>
      </c>
      <c r="B680" s="3">
        <v>1604755</v>
      </c>
      <c r="C680" s="3" t="s">
        <v>153</v>
      </c>
      <c r="D680" s="4">
        <v>20383164</v>
      </c>
      <c r="E680" s="3" t="s">
        <v>273</v>
      </c>
      <c r="F680" s="4">
        <v>1</v>
      </c>
      <c r="G680" s="5">
        <v>22</v>
      </c>
      <c r="H680" s="5">
        <f t="shared" si="10"/>
        <v>22</v>
      </c>
    </row>
    <row r="681" customFormat="1" hidden="1" spans="1:8">
      <c r="A681" s="2">
        <v>46162</v>
      </c>
      <c r="B681" s="3">
        <v>1604755</v>
      </c>
      <c r="C681" s="3" t="s">
        <v>153</v>
      </c>
      <c r="D681" s="4">
        <v>20407575</v>
      </c>
      <c r="E681" s="3" t="s">
        <v>284</v>
      </c>
      <c r="F681" s="4">
        <v>1</v>
      </c>
      <c r="G681" s="5">
        <v>16.5</v>
      </c>
      <c r="H681" s="5">
        <f t="shared" si="10"/>
        <v>16.5</v>
      </c>
    </row>
    <row r="682" customFormat="1" hidden="1" spans="1:8">
      <c r="A682" s="2">
        <v>46162</v>
      </c>
      <c r="B682" s="3">
        <v>1604755</v>
      </c>
      <c r="C682" s="3" t="s">
        <v>153</v>
      </c>
      <c r="D682" s="4">
        <v>20318336</v>
      </c>
      <c r="E682" s="3" t="s">
        <v>303</v>
      </c>
      <c r="F682" s="4">
        <v>2</v>
      </c>
      <c r="G682" s="5">
        <v>16.5</v>
      </c>
      <c r="H682" s="5">
        <f t="shared" si="10"/>
        <v>33</v>
      </c>
    </row>
    <row r="683" customFormat="1" hidden="1" spans="1:8">
      <c r="A683" s="2">
        <v>46162</v>
      </c>
      <c r="B683" s="3">
        <v>1604774</v>
      </c>
      <c r="C683" s="3" t="s">
        <v>156</v>
      </c>
      <c r="D683" s="4">
        <v>20322235</v>
      </c>
      <c r="E683" s="3" t="s">
        <v>111</v>
      </c>
      <c r="F683" s="4">
        <v>25</v>
      </c>
      <c r="G683" s="5">
        <v>2.5</v>
      </c>
      <c r="H683" s="5">
        <f t="shared" si="10"/>
        <v>62.5</v>
      </c>
    </row>
    <row r="684" customFormat="1" hidden="1" spans="1:8">
      <c r="A684" s="2">
        <v>46162</v>
      </c>
      <c r="B684" s="3">
        <v>1604774</v>
      </c>
      <c r="C684" s="3" t="s">
        <v>156</v>
      </c>
      <c r="D684" s="4">
        <v>20322243</v>
      </c>
      <c r="E684" s="3" t="s">
        <v>117</v>
      </c>
      <c r="F684" s="4">
        <v>1</v>
      </c>
      <c r="G684" s="5">
        <v>30</v>
      </c>
      <c r="H684" s="5">
        <f t="shared" si="10"/>
        <v>30</v>
      </c>
    </row>
    <row r="685" customFormat="1" hidden="1" spans="1:8">
      <c r="A685" s="2">
        <v>46162</v>
      </c>
      <c r="B685" s="3">
        <v>1604774</v>
      </c>
      <c r="C685" s="3" t="s">
        <v>156</v>
      </c>
      <c r="D685" s="4">
        <v>20322234</v>
      </c>
      <c r="E685" s="3" t="s">
        <v>274</v>
      </c>
      <c r="F685" s="4">
        <v>5</v>
      </c>
      <c r="G685" s="5">
        <v>2.5</v>
      </c>
      <c r="H685" s="5">
        <f t="shared" si="10"/>
        <v>12.5</v>
      </c>
    </row>
    <row r="686" customFormat="1" hidden="1" spans="1:8">
      <c r="A686" s="2">
        <v>46162</v>
      </c>
      <c r="B686" s="3">
        <v>1604774</v>
      </c>
      <c r="C686" s="3" t="s">
        <v>156</v>
      </c>
      <c r="D686" s="4">
        <v>20330757</v>
      </c>
      <c r="E686" s="3" t="s">
        <v>288</v>
      </c>
      <c r="F686" s="4">
        <v>4</v>
      </c>
      <c r="G686" s="5">
        <v>35</v>
      </c>
      <c r="H686" s="5">
        <f t="shared" si="10"/>
        <v>140</v>
      </c>
    </row>
    <row r="687" customFormat="1" hidden="1" spans="1:8">
      <c r="A687" s="2">
        <v>46162</v>
      </c>
      <c r="B687" s="3">
        <v>1604774</v>
      </c>
      <c r="C687" s="3" t="s">
        <v>156</v>
      </c>
      <c r="D687" s="4">
        <v>20402355</v>
      </c>
      <c r="E687" s="3" t="s">
        <v>291</v>
      </c>
      <c r="F687" s="4">
        <v>2</v>
      </c>
      <c r="G687" s="5">
        <v>25</v>
      </c>
      <c r="H687" s="5">
        <f t="shared" si="10"/>
        <v>50</v>
      </c>
    </row>
    <row r="688" customFormat="1" hidden="1" spans="1:8">
      <c r="A688" s="2">
        <v>46162</v>
      </c>
      <c r="B688" s="3">
        <v>1604774</v>
      </c>
      <c r="C688" s="3" t="s">
        <v>153</v>
      </c>
      <c r="D688" s="4">
        <v>20318340</v>
      </c>
      <c r="E688" s="3" t="s">
        <v>240</v>
      </c>
      <c r="F688" s="4">
        <v>1</v>
      </c>
      <c r="G688" s="5">
        <v>16.5</v>
      </c>
      <c r="H688" s="5">
        <f t="shared" si="10"/>
        <v>16.5</v>
      </c>
    </row>
    <row r="689" customFormat="1" hidden="1" spans="1:8">
      <c r="A689" s="2">
        <v>46162</v>
      </c>
      <c r="B689" s="3">
        <v>1604784</v>
      </c>
      <c r="C689" s="3" t="s">
        <v>150</v>
      </c>
      <c r="D689" s="4">
        <v>20312966</v>
      </c>
      <c r="E689" s="3" t="s">
        <v>258</v>
      </c>
      <c r="F689" s="4">
        <v>3</v>
      </c>
      <c r="G689" s="5">
        <v>159.5</v>
      </c>
      <c r="H689" s="5">
        <f t="shared" si="10"/>
        <v>478.5</v>
      </c>
    </row>
    <row r="690" customFormat="1" hidden="1" spans="1:8">
      <c r="A690" s="2">
        <v>46162</v>
      </c>
      <c r="B690" s="3">
        <v>1604784</v>
      </c>
      <c r="C690" s="3" t="s">
        <v>150</v>
      </c>
      <c r="D690" s="4">
        <v>20327194</v>
      </c>
      <c r="E690" s="3" t="s">
        <v>265</v>
      </c>
      <c r="F690" s="4">
        <v>1</v>
      </c>
      <c r="G690" s="5">
        <v>27.5</v>
      </c>
      <c r="H690" s="5">
        <f t="shared" si="10"/>
        <v>27.5</v>
      </c>
    </row>
    <row r="691" customFormat="1" hidden="1" spans="1:8">
      <c r="A691" s="2">
        <v>46162</v>
      </c>
      <c r="B691" s="3">
        <v>1604784</v>
      </c>
      <c r="C691" s="3" t="s">
        <v>150</v>
      </c>
      <c r="D691" s="4">
        <v>20312965</v>
      </c>
      <c r="E691" s="3" t="s">
        <v>112</v>
      </c>
      <c r="F691" s="4">
        <v>2</v>
      </c>
      <c r="G691" s="5">
        <v>137.5</v>
      </c>
      <c r="H691" s="5">
        <f t="shared" si="10"/>
        <v>275</v>
      </c>
    </row>
    <row r="692" customFormat="1" hidden="1" spans="1:8">
      <c r="A692" s="2">
        <v>46162</v>
      </c>
      <c r="B692" s="3">
        <v>1604784</v>
      </c>
      <c r="C692" s="3" t="s">
        <v>150</v>
      </c>
      <c r="D692" s="4">
        <v>20312967</v>
      </c>
      <c r="E692" s="3" t="s">
        <v>289</v>
      </c>
      <c r="F692" s="4">
        <v>2</v>
      </c>
      <c r="G692" s="5">
        <v>176</v>
      </c>
      <c r="H692" s="5">
        <f t="shared" si="10"/>
        <v>352</v>
      </c>
    </row>
    <row r="693" customFormat="1" hidden="1" spans="1:8">
      <c r="A693" s="2">
        <v>46162</v>
      </c>
      <c r="B693" s="3">
        <v>1604784</v>
      </c>
      <c r="C693" s="3" t="s">
        <v>150</v>
      </c>
      <c r="D693" s="4">
        <v>20426378</v>
      </c>
      <c r="E693" s="3" t="s">
        <v>293</v>
      </c>
      <c r="F693" s="4">
        <v>1</v>
      </c>
      <c r="G693" s="5">
        <v>16.5</v>
      </c>
      <c r="H693" s="5">
        <f t="shared" si="10"/>
        <v>16.5</v>
      </c>
    </row>
    <row r="694" customFormat="1" hidden="1" spans="1:8">
      <c r="A694" s="2">
        <v>46162</v>
      </c>
      <c r="B694" s="3">
        <v>1604784</v>
      </c>
      <c r="C694" s="3" t="s">
        <v>151</v>
      </c>
      <c r="D694" s="4">
        <v>20337609</v>
      </c>
      <c r="E694" s="3" t="s">
        <v>267</v>
      </c>
      <c r="F694" s="4">
        <v>1</v>
      </c>
      <c r="G694" s="5">
        <v>8</v>
      </c>
      <c r="H694" s="5">
        <f t="shared" si="10"/>
        <v>8</v>
      </c>
    </row>
    <row r="695" customFormat="1" hidden="1" spans="1:8">
      <c r="A695" s="2">
        <v>46162</v>
      </c>
      <c r="B695" s="3">
        <v>1604784</v>
      </c>
      <c r="C695" s="3" t="s">
        <v>153</v>
      </c>
      <c r="D695" s="4">
        <v>20318377</v>
      </c>
      <c r="E695" s="3" t="s">
        <v>176</v>
      </c>
      <c r="F695" s="4">
        <v>1</v>
      </c>
      <c r="G695" s="5">
        <v>16.5</v>
      </c>
      <c r="H695" s="5">
        <f t="shared" si="10"/>
        <v>16.5</v>
      </c>
    </row>
    <row r="696" customFormat="1" hidden="1" spans="1:8">
      <c r="A696" s="2">
        <v>46162</v>
      </c>
      <c r="B696" s="3">
        <v>1604784</v>
      </c>
      <c r="C696" s="3" t="s">
        <v>153</v>
      </c>
      <c r="D696" s="4">
        <v>20318378</v>
      </c>
      <c r="E696" s="3" t="s">
        <v>231</v>
      </c>
      <c r="F696" s="4">
        <v>2</v>
      </c>
      <c r="G696" s="5">
        <v>16.5</v>
      </c>
      <c r="H696" s="5">
        <f t="shared" si="10"/>
        <v>33</v>
      </c>
    </row>
    <row r="697" customFormat="1" hidden="1" spans="1:8">
      <c r="A697" s="2">
        <v>46162</v>
      </c>
      <c r="B697" s="3">
        <v>1604784</v>
      </c>
      <c r="C697" s="3" t="s">
        <v>153</v>
      </c>
      <c r="D697" s="4">
        <v>20318380</v>
      </c>
      <c r="E697" s="3" t="s">
        <v>232</v>
      </c>
      <c r="F697" s="4">
        <v>1</v>
      </c>
      <c r="G697" s="5">
        <v>16.5</v>
      </c>
      <c r="H697" s="5">
        <f t="shared" si="10"/>
        <v>16.5</v>
      </c>
    </row>
    <row r="698" customFormat="1" hidden="1" spans="1:8">
      <c r="A698" s="2">
        <v>46162</v>
      </c>
      <c r="B698" s="3">
        <v>1604784</v>
      </c>
      <c r="C698" s="3" t="s">
        <v>153</v>
      </c>
      <c r="D698" s="4">
        <v>20318340</v>
      </c>
      <c r="E698" s="3" t="s">
        <v>240</v>
      </c>
      <c r="F698" s="4">
        <v>1</v>
      </c>
      <c r="G698" s="5">
        <v>16.5</v>
      </c>
      <c r="H698" s="5">
        <f t="shared" si="10"/>
        <v>16.5</v>
      </c>
    </row>
    <row r="699" customFormat="1" hidden="1" spans="1:8">
      <c r="A699" s="2">
        <v>46162</v>
      </c>
      <c r="B699" s="3">
        <v>1604784</v>
      </c>
      <c r="C699" s="3" t="s">
        <v>153</v>
      </c>
      <c r="D699" s="4">
        <v>20340289</v>
      </c>
      <c r="E699" s="3" t="s">
        <v>272</v>
      </c>
      <c r="F699" s="4">
        <v>1</v>
      </c>
      <c r="G699" s="5">
        <v>16.5</v>
      </c>
      <c r="H699" s="5">
        <f t="shared" si="10"/>
        <v>16.5</v>
      </c>
    </row>
    <row r="700" customFormat="1" hidden="1" spans="1:8">
      <c r="A700" s="2">
        <v>46162</v>
      </c>
      <c r="B700" s="3">
        <v>1604784</v>
      </c>
      <c r="C700" s="3" t="s">
        <v>153</v>
      </c>
      <c r="D700" s="4">
        <v>20383164</v>
      </c>
      <c r="E700" s="3" t="s">
        <v>273</v>
      </c>
      <c r="F700" s="4">
        <v>1</v>
      </c>
      <c r="G700" s="5">
        <v>22</v>
      </c>
      <c r="H700" s="5">
        <f t="shared" si="10"/>
        <v>22</v>
      </c>
    </row>
    <row r="701" customFormat="1" hidden="1" spans="1:8">
      <c r="A701" s="2">
        <v>46162</v>
      </c>
      <c r="B701" s="3">
        <v>1604784</v>
      </c>
      <c r="C701" s="3" t="s">
        <v>153</v>
      </c>
      <c r="D701" s="4">
        <v>20318336</v>
      </c>
      <c r="E701" s="3" t="s">
        <v>303</v>
      </c>
      <c r="F701" s="4">
        <v>1</v>
      </c>
      <c r="G701" s="5">
        <v>16.5</v>
      </c>
      <c r="H701" s="5">
        <f t="shared" si="10"/>
        <v>16.5</v>
      </c>
    </row>
    <row r="702" customFormat="1" hidden="1" spans="1:8">
      <c r="A702" s="2">
        <v>46162</v>
      </c>
      <c r="B702" s="3">
        <v>1604845</v>
      </c>
      <c r="C702" s="3" t="s">
        <v>150</v>
      </c>
      <c r="D702" s="4">
        <v>20321252</v>
      </c>
      <c r="E702" s="3" t="s">
        <v>162</v>
      </c>
      <c r="F702" s="4">
        <v>1</v>
      </c>
      <c r="G702" s="5">
        <v>49.5</v>
      </c>
      <c r="H702" s="5">
        <f t="shared" si="10"/>
        <v>49.5</v>
      </c>
    </row>
    <row r="703" customFormat="1" hidden="1" spans="1:8">
      <c r="A703" s="2">
        <v>46162</v>
      </c>
      <c r="B703" s="3">
        <v>1604845</v>
      </c>
      <c r="C703" s="3" t="s">
        <v>150</v>
      </c>
      <c r="D703" s="4">
        <v>20312966</v>
      </c>
      <c r="E703" s="3" t="s">
        <v>258</v>
      </c>
      <c r="F703" s="4">
        <v>6</v>
      </c>
      <c r="G703" s="5">
        <v>159.5</v>
      </c>
      <c r="H703" s="5">
        <f t="shared" si="10"/>
        <v>957</v>
      </c>
    </row>
    <row r="704" customFormat="1" hidden="1" spans="1:8">
      <c r="A704" s="2">
        <v>46162</v>
      </c>
      <c r="B704" s="3">
        <v>1604845</v>
      </c>
      <c r="C704" s="3" t="s">
        <v>150</v>
      </c>
      <c r="D704" s="4">
        <v>20312965</v>
      </c>
      <c r="E704" s="3" t="s">
        <v>112</v>
      </c>
      <c r="F704" s="4">
        <v>1</v>
      </c>
      <c r="G704" s="5">
        <v>137.5</v>
      </c>
      <c r="H704" s="5">
        <f t="shared" si="10"/>
        <v>137.5</v>
      </c>
    </row>
    <row r="705" customFormat="1" hidden="1" spans="1:8">
      <c r="A705" s="2">
        <v>46162</v>
      </c>
      <c r="B705" s="3">
        <v>1604845</v>
      </c>
      <c r="C705" s="3" t="s">
        <v>150</v>
      </c>
      <c r="D705" s="4">
        <v>20312968</v>
      </c>
      <c r="E705" s="3" t="s">
        <v>276</v>
      </c>
      <c r="F705" s="4">
        <v>1</v>
      </c>
      <c r="G705" s="5">
        <v>187</v>
      </c>
      <c r="H705" s="5">
        <f t="shared" si="10"/>
        <v>187</v>
      </c>
    </row>
    <row r="706" customFormat="1" hidden="1" spans="1:8">
      <c r="A706" s="2">
        <v>46162</v>
      </c>
      <c r="B706" s="3">
        <v>1604845</v>
      </c>
      <c r="C706" s="3" t="s">
        <v>150</v>
      </c>
      <c r="D706" s="4">
        <v>20312967</v>
      </c>
      <c r="E706" s="3" t="s">
        <v>289</v>
      </c>
      <c r="F706" s="4">
        <v>5</v>
      </c>
      <c r="G706" s="5">
        <v>176</v>
      </c>
      <c r="H706" s="5">
        <f t="shared" ref="H706:H769" si="11">G706*F706</f>
        <v>880</v>
      </c>
    </row>
    <row r="707" customFormat="1" hidden="1" spans="1:8">
      <c r="A707" s="2">
        <v>46162</v>
      </c>
      <c r="B707" s="3">
        <v>1604845</v>
      </c>
      <c r="C707" s="3" t="s">
        <v>150</v>
      </c>
      <c r="D707" s="4">
        <v>20426377</v>
      </c>
      <c r="E707" s="3" t="s">
        <v>292</v>
      </c>
      <c r="F707" s="4">
        <v>1</v>
      </c>
      <c r="G707" s="5">
        <v>121</v>
      </c>
      <c r="H707" s="5">
        <f t="shared" si="11"/>
        <v>121</v>
      </c>
    </row>
    <row r="708" customFormat="1" hidden="1" spans="1:8">
      <c r="A708" s="2">
        <v>46162</v>
      </c>
      <c r="B708" s="3">
        <v>1604845</v>
      </c>
      <c r="C708" s="3" t="s">
        <v>151</v>
      </c>
      <c r="D708" s="4">
        <v>20318395</v>
      </c>
      <c r="E708" s="3" t="s">
        <v>309</v>
      </c>
      <c r="F708" s="4">
        <v>1</v>
      </c>
      <c r="G708" s="5">
        <v>16.5</v>
      </c>
      <c r="H708" s="5">
        <f t="shared" si="11"/>
        <v>16.5</v>
      </c>
    </row>
    <row r="709" customFormat="1" hidden="1" spans="1:8">
      <c r="A709" s="2">
        <v>46162</v>
      </c>
      <c r="B709" s="3">
        <v>1604845</v>
      </c>
      <c r="C709" s="3" t="s">
        <v>156</v>
      </c>
      <c r="D709" s="4">
        <v>20322235</v>
      </c>
      <c r="E709" s="3" t="s">
        <v>111</v>
      </c>
      <c r="F709" s="4">
        <v>7</v>
      </c>
      <c r="G709" s="5">
        <v>2.5</v>
      </c>
      <c r="H709" s="5">
        <f t="shared" si="11"/>
        <v>17.5</v>
      </c>
    </row>
    <row r="710" customFormat="1" hidden="1" spans="1:8">
      <c r="A710" s="2">
        <v>46162</v>
      </c>
      <c r="B710" s="3">
        <v>1604845</v>
      </c>
      <c r="C710" s="3" t="s">
        <v>152</v>
      </c>
      <c r="D710" s="4">
        <v>20340286</v>
      </c>
      <c r="E710" s="3" t="s">
        <v>169</v>
      </c>
      <c r="F710" s="4">
        <v>1</v>
      </c>
      <c r="G710" s="5">
        <v>55</v>
      </c>
      <c r="H710" s="5">
        <f t="shared" si="11"/>
        <v>55</v>
      </c>
    </row>
    <row r="711" customFormat="1" hidden="1" spans="1:8">
      <c r="A711" s="2">
        <v>46162</v>
      </c>
      <c r="B711" s="3">
        <v>1604845</v>
      </c>
      <c r="C711" s="3" t="s">
        <v>153</v>
      </c>
      <c r="D711" s="4">
        <v>20363041</v>
      </c>
      <c r="E711" s="3" t="s">
        <v>187</v>
      </c>
      <c r="F711" s="4">
        <v>1</v>
      </c>
      <c r="G711" s="5">
        <v>16.5</v>
      </c>
      <c r="H711" s="5">
        <f t="shared" si="11"/>
        <v>16.5</v>
      </c>
    </row>
    <row r="712" customFormat="1" hidden="1" spans="1:8">
      <c r="A712" s="2">
        <v>46162</v>
      </c>
      <c r="B712" s="3">
        <v>1604845</v>
      </c>
      <c r="C712" s="3" t="s">
        <v>153</v>
      </c>
      <c r="D712" s="4">
        <v>20318379</v>
      </c>
      <c r="E712" s="3" t="s">
        <v>127</v>
      </c>
      <c r="F712" s="4">
        <v>1</v>
      </c>
      <c r="G712" s="5">
        <v>16.5</v>
      </c>
      <c r="H712" s="5">
        <f t="shared" si="11"/>
        <v>16.5</v>
      </c>
    </row>
    <row r="713" customFormat="1" hidden="1" spans="1:8">
      <c r="A713" s="2">
        <v>46162</v>
      </c>
      <c r="B713" s="3">
        <v>1604845</v>
      </c>
      <c r="C713" s="3" t="s">
        <v>153</v>
      </c>
      <c r="D713" s="4">
        <v>20318389</v>
      </c>
      <c r="E713" s="3" t="s">
        <v>302</v>
      </c>
      <c r="F713" s="4">
        <v>1</v>
      </c>
      <c r="G713" s="5">
        <v>16.5</v>
      </c>
      <c r="H713" s="5">
        <f t="shared" si="11"/>
        <v>16.5</v>
      </c>
    </row>
    <row r="714" customFormat="1" hidden="1" spans="1:8">
      <c r="A714" s="2">
        <v>46162</v>
      </c>
      <c r="B714" s="3">
        <v>1604881</v>
      </c>
      <c r="C714" s="3" t="s">
        <v>150</v>
      </c>
      <c r="D714" s="4">
        <v>20318372</v>
      </c>
      <c r="E714" s="3" t="s">
        <v>242</v>
      </c>
      <c r="F714" s="4">
        <v>1</v>
      </c>
      <c r="G714" s="5">
        <v>286</v>
      </c>
      <c r="H714" s="5">
        <f t="shared" si="11"/>
        <v>286</v>
      </c>
    </row>
    <row r="715" customFormat="1" hidden="1" spans="1:8">
      <c r="A715" s="2">
        <v>46162</v>
      </c>
      <c r="B715" s="3">
        <v>1604881</v>
      </c>
      <c r="C715" s="3" t="s">
        <v>150</v>
      </c>
      <c r="D715" s="4">
        <v>20312966</v>
      </c>
      <c r="E715" s="3" t="s">
        <v>258</v>
      </c>
      <c r="F715" s="4">
        <v>2</v>
      </c>
      <c r="G715" s="5">
        <v>159.5</v>
      </c>
      <c r="H715" s="5">
        <f t="shared" si="11"/>
        <v>319</v>
      </c>
    </row>
    <row r="716" customFormat="1" hidden="1" spans="1:8">
      <c r="A716" s="2">
        <v>46162</v>
      </c>
      <c r="B716" s="3">
        <v>1604881</v>
      </c>
      <c r="C716" s="3" t="s">
        <v>150</v>
      </c>
      <c r="D716" s="4">
        <v>20312965</v>
      </c>
      <c r="E716" s="3" t="s">
        <v>112</v>
      </c>
      <c r="F716" s="4">
        <v>5</v>
      </c>
      <c r="G716" s="5">
        <v>137.5</v>
      </c>
      <c r="H716" s="5">
        <f t="shared" si="11"/>
        <v>687.5</v>
      </c>
    </row>
    <row r="717" customFormat="1" hidden="1" spans="1:8">
      <c r="A717" s="2">
        <v>46162</v>
      </c>
      <c r="B717" s="3">
        <v>1604881</v>
      </c>
      <c r="C717" s="3" t="s">
        <v>150</v>
      </c>
      <c r="D717" s="4">
        <v>20312967</v>
      </c>
      <c r="E717" s="3" t="s">
        <v>289</v>
      </c>
      <c r="F717" s="4">
        <v>4</v>
      </c>
      <c r="G717" s="5">
        <v>176</v>
      </c>
      <c r="H717" s="5">
        <f t="shared" si="11"/>
        <v>704</v>
      </c>
    </row>
    <row r="718" customFormat="1" hidden="1" spans="1:8">
      <c r="A718" s="2">
        <v>46162</v>
      </c>
      <c r="B718" s="3">
        <v>1604881</v>
      </c>
      <c r="C718" s="3" t="s">
        <v>156</v>
      </c>
      <c r="D718" s="4">
        <v>20330757</v>
      </c>
      <c r="E718" s="3" t="s">
        <v>288</v>
      </c>
      <c r="F718" s="4">
        <v>2</v>
      </c>
      <c r="G718" s="5">
        <v>35</v>
      </c>
      <c r="H718" s="5">
        <f t="shared" si="11"/>
        <v>70</v>
      </c>
    </row>
    <row r="719" customFormat="1" hidden="1" spans="1:8">
      <c r="A719" s="2">
        <v>46162</v>
      </c>
      <c r="B719" s="3">
        <v>1604881</v>
      </c>
      <c r="C719" s="3" t="s">
        <v>152</v>
      </c>
      <c r="D719" s="4">
        <v>20340286</v>
      </c>
      <c r="E719" s="3" t="s">
        <v>169</v>
      </c>
      <c r="F719" s="4">
        <v>1</v>
      </c>
      <c r="G719" s="5">
        <v>55</v>
      </c>
      <c r="H719" s="5">
        <f t="shared" si="11"/>
        <v>55</v>
      </c>
    </row>
    <row r="720" customFormat="1" hidden="1" spans="1:8">
      <c r="A720" s="2">
        <v>46162</v>
      </c>
      <c r="B720" s="3">
        <v>1604881</v>
      </c>
      <c r="C720" s="3" t="s">
        <v>153</v>
      </c>
      <c r="D720" s="4">
        <v>20321257</v>
      </c>
      <c r="E720" s="3" t="s">
        <v>68</v>
      </c>
      <c r="F720" s="4">
        <v>5</v>
      </c>
      <c r="G720" s="5">
        <v>16.5</v>
      </c>
      <c r="H720" s="5">
        <f t="shared" si="11"/>
        <v>82.5</v>
      </c>
    </row>
    <row r="721" customFormat="1" hidden="1" spans="1:8">
      <c r="A721" s="2">
        <v>46162</v>
      </c>
      <c r="B721" s="3">
        <v>1604881</v>
      </c>
      <c r="C721" s="3" t="s">
        <v>153</v>
      </c>
      <c r="D721" s="4">
        <v>20318334</v>
      </c>
      <c r="E721" s="3" t="s">
        <v>186</v>
      </c>
      <c r="F721" s="4">
        <v>2</v>
      </c>
      <c r="G721" s="5">
        <v>16.5</v>
      </c>
      <c r="H721" s="5">
        <f t="shared" si="11"/>
        <v>33</v>
      </c>
    </row>
    <row r="722" customFormat="1" hidden="1" spans="1:8">
      <c r="A722" s="2">
        <v>46162</v>
      </c>
      <c r="B722" s="3">
        <v>1604881</v>
      </c>
      <c r="C722" s="3" t="s">
        <v>153</v>
      </c>
      <c r="D722" s="4">
        <v>20318380</v>
      </c>
      <c r="E722" s="3" t="s">
        <v>232</v>
      </c>
      <c r="F722" s="4">
        <v>3</v>
      </c>
      <c r="G722" s="5">
        <v>16.5</v>
      </c>
      <c r="H722" s="5">
        <f t="shared" si="11"/>
        <v>49.5</v>
      </c>
    </row>
    <row r="723" customFormat="1" hidden="1" spans="1:8">
      <c r="A723" s="2">
        <v>46162</v>
      </c>
      <c r="B723" s="3">
        <v>1604881</v>
      </c>
      <c r="C723" s="3" t="s">
        <v>153</v>
      </c>
      <c r="D723" s="4">
        <v>20318340</v>
      </c>
      <c r="E723" s="3" t="s">
        <v>240</v>
      </c>
      <c r="F723" s="4">
        <v>1</v>
      </c>
      <c r="G723" s="5">
        <v>16.5</v>
      </c>
      <c r="H723" s="5">
        <f t="shared" si="11"/>
        <v>16.5</v>
      </c>
    </row>
    <row r="724" customFormat="1" hidden="1" spans="1:8">
      <c r="A724" s="2">
        <v>46162</v>
      </c>
      <c r="B724" s="3">
        <v>1604881</v>
      </c>
      <c r="C724" s="3" t="s">
        <v>153</v>
      </c>
      <c r="D724" s="4">
        <v>20321250</v>
      </c>
      <c r="E724" s="3" t="s">
        <v>259</v>
      </c>
      <c r="F724" s="4">
        <v>2</v>
      </c>
      <c r="G724" s="5">
        <v>16.5</v>
      </c>
      <c r="H724" s="5">
        <f t="shared" si="11"/>
        <v>33</v>
      </c>
    </row>
    <row r="725" customFormat="1" hidden="1" spans="1:8">
      <c r="A725" s="2">
        <v>46162</v>
      </c>
      <c r="B725" s="3">
        <v>1604881</v>
      </c>
      <c r="C725" s="3" t="s">
        <v>153</v>
      </c>
      <c r="D725" s="4">
        <v>20340289</v>
      </c>
      <c r="E725" s="3" t="s">
        <v>272</v>
      </c>
      <c r="F725" s="4">
        <v>1</v>
      </c>
      <c r="G725" s="5">
        <v>16.5</v>
      </c>
      <c r="H725" s="5">
        <f t="shared" si="11"/>
        <v>16.5</v>
      </c>
    </row>
    <row r="726" customFormat="1" hidden="1" spans="1:8">
      <c r="A726" s="2">
        <v>46162</v>
      </c>
      <c r="B726" s="3">
        <v>1604881</v>
      </c>
      <c r="C726" s="3" t="s">
        <v>153</v>
      </c>
      <c r="D726" s="4">
        <v>20318336</v>
      </c>
      <c r="E726" s="3" t="s">
        <v>303</v>
      </c>
      <c r="F726" s="4">
        <v>2</v>
      </c>
      <c r="G726" s="5">
        <v>16.5</v>
      </c>
      <c r="H726" s="5">
        <f t="shared" si="11"/>
        <v>33</v>
      </c>
    </row>
    <row r="727" customFormat="1" hidden="1" spans="1:8">
      <c r="A727" s="2">
        <v>46162</v>
      </c>
      <c r="B727" s="3">
        <v>1604881</v>
      </c>
      <c r="C727" s="3" t="s">
        <v>153</v>
      </c>
      <c r="D727" s="4">
        <v>20318342</v>
      </c>
      <c r="E727" s="3" t="s">
        <v>304</v>
      </c>
      <c r="F727" s="4">
        <v>2</v>
      </c>
      <c r="G727" s="5">
        <v>16.5</v>
      </c>
      <c r="H727" s="5">
        <f t="shared" si="11"/>
        <v>33</v>
      </c>
    </row>
    <row r="728" customFormat="1" hidden="1" spans="1:8">
      <c r="A728" s="2">
        <v>46163</v>
      </c>
      <c r="B728" s="3">
        <v>1605060</v>
      </c>
      <c r="C728" s="3" t="s">
        <v>150</v>
      </c>
      <c r="D728" s="4">
        <v>20424417</v>
      </c>
      <c r="E728" s="3" t="s">
        <v>312</v>
      </c>
      <c r="F728" s="4">
        <v>1</v>
      </c>
      <c r="G728" s="5">
        <v>66</v>
      </c>
      <c r="H728" s="5">
        <f t="shared" si="11"/>
        <v>66</v>
      </c>
    </row>
    <row r="729" customFormat="1" hidden="1" spans="1:8">
      <c r="A729" s="2">
        <v>46163</v>
      </c>
      <c r="B729" s="3">
        <v>1605060</v>
      </c>
      <c r="C729" s="3" t="s">
        <v>156</v>
      </c>
      <c r="D729" s="4">
        <v>20322235</v>
      </c>
      <c r="E729" s="3" t="s">
        <v>111</v>
      </c>
      <c r="F729" s="4">
        <v>9</v>
      </c>
      <c r="G729" s="5">
        <v>2.5</v>
      </c>
      <c r="H729" s="5">
        <f t="shared" si="11"/>
        <v>22.5</v>
      </c>
    </row>
    <row r="730" customFormat="1" hidden="1" spans="1:8">
      <c r="A730" s="2">
        <v>46163</v>
      </c>
      <c r="B730" s="3">
        <v>1605060</v>
      </c>
      <c r="C730" s="3" t="s">
        <v>156</v>
      </c>
      <c r="D730" s="4">
        <v>20322243</v>
      </c>
      <c r="E730" s="3" t="s">
        <v>117</v>
      </c>
      <c r="F730" s="4">
        <v>1</v>
      </c>
      <c r="G730" s="5">
        <v>30</v>
      </c>
      <c r="H730" s="5">
        <f t="shared" si="11"/>
        <v>30</v>
      </c>
    </row>
    <row r="731" customFormat="1" hidden="1" spans="1:8">
      <c r="A731" s="2">
        <v>46163</v>
      </c>
      <c r="B731" s="3">
        <v>1605060</v>
      </c>
      <c r="C731" s="3" t="s">
        <v>156</v>
      </c>
      <c r="D731" s="4">
        <v>20322234</v>
      </c>
      <c r="E731" s="3" t="s">
        <v>274</v>
      </c>
      <c r="F731" s="4">
        <v>2</v>
      </c>
      <c r="G731" s="5">
        <v>2.5</v>
      </c>
      <c r="H731" s="5">
        <f t="shared" si="11"/>
        <v>5</v>
      </c>
    </row>
    <row r="732" customFormat="1" hidden="1" spans="1:8">
      <c r="A732" s="2">
        <v>46163</v>
      </c>
      <c r="B732" s="3">
        <v>1605060</v>
      </c>
      <c r="C732" s="3" t="s">
        <v>156</v>
      </c>
      <c r="D732" s="4">
        <v>20322304</v>
      </c>
      <c r="E732" s="3" t="s">
        <v>275</v>
      </c>
      <c r="F732" s="4">
        <v>7</v>
      </c>
      <c r="G732" s="5">
        <v>25</v>
      </c>
      <c r="H732" s="5">
        <f t="shared" si="11"/>
        <v>175</v>
      </c>
    </row>
    <row r="733" customFormat="1" hidden="1" spans="1:8">
      <c r="A733" s="2">
        <v>46163</v>
      </c>
      <c r="B733" s="3">
        <v>1605060</v>
      </c>
      <c r="C733" s="3" t="s">
        <v>156</v>
      </c>
      <c r="D733" s="4">
        <v>20330757</v>
      </c>
      <c r="E733" s="3" t="s">
        <v>288</v>
      </c>
      <c r="F733" s="4">
        <v>3</v>
      </c>
      <c r="G733" s="5">
        <v>35</v>
      </c>
      <c r="H733" s="5">
        <f t="shared" si="11"/>
        <v>105</v>
      </c>
    </row>
    <row r="734" customFormat="1" hidden="1" spans="1:8">
      <c r="A734" s="2">
        <v>46163</v>
      </c>
      <c r="B734" s="3">
        <v>1605062</v>
      </c>
      <c r="C734" s="3" t="s">
        <v>150</v>
      </c>
      <c r="D734" s="4">
        <v>20312965</v>
      </c>
      <c r="E734" s="3" t="s">
        <v>112</v>
      </c>
      <c r="F734" s="4">
        <v>2</v>
      </c>
      <c r="G734" s="5">
        <v>137.5</v>
      </c>
      <c r="H734" s="5">
        <f t="shared" si="11"/>
        <v>275</v>
      </c>
    </row>
    <row r="735" customFormat="1" hidden="1" spans="1:8">
      <c r="A735" s="2">
        <v>46163</v>
      </c>
      <c r="B735" s="3">
        <v>1605062</v>
      </c>
      <c r="C735" s="3" t="s">
        <v>150</v>
      </c>
      <c r="D735" s="4">
        <v>20312967</v>
      </c>
      <c r="E735" s="3" t="s">
        <v>289</v>
      </c>
      <c r="F735" s="4">
        <v>3</v>
      </c>
      <c r="G735" s="5">
        <v>176</v>
      </c>
      <c r="H735" s="5">
        <f t="shared" si="11"/>
        <v>528</v>
      </c>
    </row>
    <row r="736" customFormat="1" hidden="1" spans="1:8">
      <c r="A736" s="2">
        <v>46163</v>
      </c>
      <c r="B736" s="3">
        <v>1605069</v>
      </c>
      <c r="C736" s="3" t="s">
        <v>150</v>
      </c>
      <c r="D736" s="4">
        <v>20312966</v>
      </c>
      <c r="E736" s="3" t="s">
        <v>258</v>
      </c>
      <c r="F736" s="4">
        <v>1</v>
      </c>
      <c r="G736" s="5">
        <v>159.5</v>
      </c>
      <c r="H736" s="5">
        <f t="shared" si="11"/>
        <v>159.5</v>
      </c>
    </row>
    <row r="737" customFormat="1" hidden="1" spans="1:8">
      <c r="A737" s="2">
        <v>46163</v>
      </c>
      <c r="B737" s="3">
        <v>1605069</v>
      </c>
      <c r="C737" s="3" t="s">
        <v>150</v>
      </c>
      <c r="D737" s="4">
        <v>20312965</v>
      </c>
      <c r="E737" s="3" t="s">
        <v>112</v>
      </c>
      <c r="F737" s="4">
        <v>1</v>
      </c>
      <c r="G737" s="5">
        <v>137.5</v>
      </c>
      <c r="H737" s="5">
        <f t="shared" si="11"/>
        <v>137.5</v>
      </c>
    </row>
    <row r="738" customFormat="1" hidden="1" spans="1:8">
      <c r="A738" s="2">
        <v>46163</v>
      </c>
      <c r="B738" s="3">
        <v>1605069</v>
      </c>
      <c r="C738" s="3" t="s">
        <v>150</v>
      </c>
      <c r="D738" s="4">
        <v>20312968</v>
      </c>
      <c r="E738" s="3" t="s">
        <v>276</v>
      </c>
      <c r="F738" s="4">
        <v>1</v>
      </c>
      <c r="G738" s="5">
        <v>187</v>
      </c>
      <c r="H738" s="5">
        <f t="shared" si="11"/>
        <v>187</v>
      </c>
    </row>
    <row r="739" customFormat="1" hidden="1" spans="1:8">
      <c r="A739" s="2">
        <v>46163</v>
      </c>
      <c r="B739" s="3">
        <v>1605069</v>
      </c>
      <c r="C739" s="3" t="s">
        <v>150</v>
      </c>
      <c r="D739" s="4">
        <v>20392364</v>
      </c>
      <c r="E739" s="3" t="s">
        <v>296</v>
      </c>
      <c r="F739" s="4">
        <v>1</v>
      </c>
      <c r="G739" s="5">
        <v>137.5</v>
      </c>
      <c r="H739" s="5">
        <f t="shared" si="11"/>
        <v>137.5</v>
      </c>
    </row>
    <row r="740" customFormat="1" hidden="1" spans="1:8">
      <c r="A740" s="2">
        <v>46163</v>
      </c>
      <c r="B740" s="3">
        <v>1605069</v>
      </c>
      <c r="C740" s="3" t="s">
        <v>150</v>
      </c>
      <c r="D740" s="4">
        <v>20424417</v>
      </c>
      <c r="E740" s="3" t="s">
        <v>312</v>
      </c>
      <c r="F740" s="4">
        <v>2</v>
      </c>
      <c r="G740" s="5">
        <v>66</v>
      </c>
      <c r="H740" s="5">
        <f t="shared" si="11"/>
        <v>132</v>
      </c>
    </row>
    <row r="741" customFormat="1" hidden="1" spans="1:8">
      <c r="A741" s="2">
        <v>46163</v>
      </c>
      <c r="B741" s="3">
        <v>1605069</v>
      </c>
      <c r="C741" s="3" t="s">
        <v>152</v>
      </c>
      <c r="D741" s="4">
        <v>20340286</v>
      </c>
      <c r="E741" s="3" t="s">
        <v>169</v>
      </c>
      <c r="F741" s="4">
        <v>1</v>
      </c>
      <c r="G741" s="5">
        <v>55</v>
      </c>
      <c r="H741" s="5">
        <f t="shared" si="11"/>
        <v>55</v>
      </c>
    </row>
    <row r="742" customFormat="1" hidden="1" spans="1:8">
      <c r="A742" s="2">
        <v>46163</v>
      </c>
      <c r="B742" s="3">
        <v>1605069</v>
      </c>
      <c r="C742" s="3" t="s">
        <v>153</v>
      </c>
      <c r="D742" s="4">
        <v>20321257</v>
      </c>
      <c r="E742" s="3" t="s">
        <v>68</v>
      </c>
      <c r="F742" s="4">
        <v>5</v>
      </c>
      <c r="G742" s="5">
        <v>16.5</v>
      </c>
      <c r="H742" s="5">
        <f t="shared" si="11"/>
        <v>82.5</v>
      </c>
    </row>
    <row r="743" customFormat="1" hidden="1" spans="1:8">
      <c r="A743" s="2">
        <v>46163</v>
      </c>
      <c r="B743" s="3">
        <v>1605069</v>
      </c>
      <c r="C743" s="3" t="s">
        <v>153</v>
      </c>
      <c r="D743" s="4">
        <v>20343399</v>
      </c>
      <c r="E743" s="3" t="s">
        <v>228</v>
      </c>
      <c r="F743" s="4">
        <v>1</v>
      </c>
      <c r="G743" s="5">
        <v>33</v>
      </c>
      <c r="H743" s="5">
        <f t="shared" si="11"/>
        <v>33</v>
      </c>
    </row>
    <row r="744" customFormat="1" hidden="1" spans="1:8">
      <c r="A744" s="2">
        <v>46163</v>
      </c>
      <c r="B744" s="3">
        <v>1605069</v>
      </c>
      <c r="C744" s="3" t="s">
        <v>153</v>
      </c>
      <c r="D744" s="4">
        <v>20318336</v>
      </c>
      <c r="E744" s="3" t="s">
        <v>303</v>
      </c>
      <c r="F744" s="4">
        <v>1</v>
      </c>
      <c r="G744" s="5">
        <v>16.5</v>
      </c>
      <c r="H744" s="5">
        <f t="shared" si="11"/>
        <v>16.5</v>
      </c>
    </row>
    <row r="745" customFormat="1" hidden="1" spans="1:8">
      <c r="A745" s="2">
        <v>46163</v>
      </c>
      <c r="B745" s="3">
        <v>1605123</v>
      </c>
      <c r="C745" s="3" t="s">
        <v>151</v>
      </c>
      <c r="D745" s="4">
        <v>20424977</v>
      </c>
      <c r="E745" s="3" t="s">
        <v>178</v>
      </c>
      <c r="F745" s="4">
        <v>1</v>
      </c>
      <c r="G745" s="5">
        <v>8</v>
      </c>
      <c r="H745" s="5">
        <f t="shared" si="11"/>
        <v>8</v>
      </c>
    </row>
    <row r="746" customFormat="1" hidden="1" spans="1:8">
      <c r="A746" s="2">
        <v>46163</v>
      </c>
      <c r="B746" s="3">
        <v>1605123</v>
      </c>
      <c r="C746" s="3" t="s">
        <v>151</v>
      </c>
      <c r="D746" s="4">
        <v>20366610</v>
      </c>
      <c r="E746" s="3" t="s">
        <v>191</v>
      </c>
      <c r="F746" s="4">
        <v>1</v>
      </c>
      <c r="G746" s="5">
        <v>16.5</v>
      </c>
      <c r="H746" s="5">
        <f t="shared" si="11"/>
        <v>16.5</v>
      </c>
    </row>
    <row r="747" customFormat="1" hidden="1" spans="1:8">
      <c r="A747" s="2">
        <v>46163</v>
      </c>
      <c r="B747" s="3">
        <v>1605123</v>
      </c>
      <c r="C747" s="3" t="s">
        <v>151</v>
      </c>
      <c r="D747" s="4">
        <v>20410957</v>
      </c>
      <c r="E747" s="3" t="s">
        <v>197</v>
      </c>
      <c r="F747" s="4">
        <v>1</v>
      </c>
      <c r="G747" s="5">
        <v>16.5</v>
      </c>
      <c r="H747" s="5">
        <f t="shared" si="11"/>
        <v>16.5</v>
      </c>
    </row>
    <row r="748" customFormat="1" hidden="1" spans="1:8">
      <c r="A748" s="2">
        <v>46163</v>
      </c>
      <c r="B748" s="3">
        <v>1605123</v>
      </c>
      <c r="C748" s="3" t="s">
        <v>152</v>
      </c>
      <c r="D748" s="4">
        <v>20366059</v>
      </c>
      <c r="E748" s="3" t="s">
        <v>194</v>
      </c>
      <c r="F748" s="4">
        <v>1</v>
      </c>
      <c r="G748" s="5">
        <v>66</v>
      </c>
      <c r="H748" s="5">
        <f t="shared" si="11"/>
        <v>66</v>
      </c>
    </row>
    <row r="749" customFormat="1" hidden="1" spans="1:8">
      <c r="A749" s="2">
        <v>46163</v>
      </c>
      <c r="B749" s="3">
        <v>1605123</v>
      </c>
      <c r="C749" s="3" t="s">
        <v>153</v>
      </c>
      <c r="D749" s="4">
        <v>20321250</v>
      </c>
      <c r="E749" s="3" t="s">
        <v>259</v>
      </c>
      <c r="F749" s="4">
        <v>1</v>
      </c>
      <c r="G749" s="5">
        <v>16.5</v>
      </c>
      <c r="H749" s="5">
        <f t="shared" si="11"/>
        <v>16.5</v>
      </c>
    </row>
    <row r="750" customFormat="1" hidden="1" spans="1:8">
      <c r="A750" s="2">
        <v>46163</v>
      </c>
      <c r="B750" s="3">
        <v>1605154</v>
      </c>
      <c r="C750" s="3" t="s">
        <v>151</v>
      </c>
      <c r="D750" s="4">
        <v>20410156</v>
      </c>
      <c r="E750" s="3" t="s">
        <v>192</v>
      </c>
      <c r="F750" s="4">
        <v>1</v>
      </c>
      <c r="G750" s="5">
        <v>16.5</v>
      </c>
      <c r="H750" s="5">
        <f t="shared" si="11"/>
        <v>16.5</v>
      </c>
    </row>
    <row r="751" customFormat="1" hidden="1" spans="1:8">
      <c r="A751" s="2">
        <v>46163</v>
      </c>
      <c r="B751" s="3">
        <v>1605154</v>
      </c>
      <c r="C751" s="3" t="s">
        <v>151</v>
      </c>
      <c r="D751" s="4">
        <v>20411008</v>
      </c>
      <c r="E751" s="3" t="s">
        <v>198</v>
      </c>
      <c r="F751" s="4">
        <v>1</v>
      </c>
      <c r="G751" s="5">
        <v>16.5</v>
      </c>
      <c r="H751" s="5">
        <f t="shared" si="11"/>
        <v>16.5</v>
      </c>
    </row>
    <row r="752" customFormat="1" hidden="1" spans="1:8">
      <c r="A752" s="2">
        <v>46163</v>
      </c>
      <c r="B752" s="3">
        <v>1605154</v>
      </c>
      <c r="C752" s="3" t="s">
        <v>153</v>
      </c>
      <c r="D752" s="4">
        <v>20407575</v>
      </c>
      <c r="E752" s="3" t="s">
        <v>284</v>
      </c>
      <c r="F752" s="4">
        <v>1</v>
      </c>
      <c r="G752" s="5">
        <v>16.5</v>
      </c>
      <c r="H752" s="5">
        <f t="shared" si="11"/>
        <v>16.5</v>
      </c>
    </row>
    <row r="753" customFormat="1" hidden="1" spans="1:8">
      <c r="A753" s="2">
        <v>46163</v>
      </c>
      <c r="B753" s="3">
        <v>1605154</v>
      </c>
      <c r="C753" s="3" t="s">
        <v>153</v>
      </c>
      <c r="D753" s="4">
        <v>20356051</v>
      </c>
      <c r="E753" s="3" t="s">
        <v>310</v>
      </c>
      <c r="F753" s="4">
        <v>1</v>
      </c>
      <c r="G753" s="5">
        <v>16.5</v>
      </c>
      <c r="H753" s="5">
        <f t="shared" si="11"/>
        <v>16.5</v>
      </c>
    </row>
    <row r="754" customFormat="1" hidden="1" spans="1:8">
      <c r="A754" s="2">
        <v>46163</v>
      </c>
      <c r="B754" s="3">
        <v>1605158</v>
      </c>
      <c r="C754" s="3" t="s">
        <v>150</v>
      </c>
      <c r="D754" s="4">
        <v>20312995</v>
      </c>
      <c r="E754" s="3" t="s">
        <v>236</v>
      </c>
      <c r="F754" s="4">
        <v>1</v>
      </c>
      <c r="G754" s="5">
        <v>82.5</v>
      </c>
      <c r="H754" s="5">
        <f t="shared" si="11"/>
        <v>82.5</v>
      </c>
    </row>
    <row r="755" customFormat="1" hidden="1" spans="1:8">
      <c r="A755" s="2">
        <v>46163</v>
      </c>
      <c r="B755" s="3">
        <v>1605158</v>
      </c>
      <c r="C755" s="3" t="s">
        <v>152</v>
      </c>
      <c r="D755" s="4">
        <v>20408950</v>
      </c>
      <c r="E755" s="3" t="s">
        <v>295</v>
      </c>
      <c r="F755" s="4">
        <v>1</v>
      </c>
      <c r="G755" s="5">
        <v>60.5</v>
      </c>
      <c r="H755" s="5">
        <f t="shared" si="11"/>
        <v>60.5</v>
      </c>
    </row>
    <row r="756" customFormat="1" hidden="1" spans="1:8">
      <c r="A756" s="2">
        <v>46163</v>
      </c>
      <c r="B756" s="3">
        <v>1605162</v>
      </c>
      <c r="C756" s="3" t="s">
        <v>151</v>
      </c>
      <c r="D756" s="4">
        <v>20424977</v>
      </c>
      <c r="E756" s="3" t="s">
        <v>178</v>
      </c>
      <c r="F756" s="4">
        <v>2</v>
      </c>
      <c r="G756" s="5">
        <v>8</v>
      </c>
      <c r="H756" s="5">
        <f t="shared" si="11"/>
        <v>16</v>
      </c>
    </row>
    <row r="757" customFormat="1" hidden="1" spans="1:8">
      <c r="A757" s="2">
        <v>46163</v>
      </c>
      <c r="B757" s="3">
        <v>1605162</v>
      </c>
      <c r="C757" s="3" t="s">
        <v>151</v>
      </c>
      <c r="D757" s="4">
        <v>20318395</v>
      </c>
      <c r="E757" s="3" t="s">
        <v>309</v>
      </c>
      <c r="F757" s="4">
        <v>1</v>
      </c>
      <c r="G757" s="5">
        <v>16.5</v>
      </c>
      <c r="H757" s="5">
        <f t="shared" si="11"/>
        <v>16.5</v>
      </c>
    </row>
    <row r="758" customFormat="1" hidden="1" spans="1:8">
      <c r="A758" s="2">
        <v>46163</v>
      </c>
      <c r="B758" s="3">
        <v>1605162</v>
      </c>
      <c r="C758" s="3" t="s">
        <v>153</v>
      </c>
      <c r="D758" s="4">
        <v>20318334</v>
      </c>
      <c r="E758" s="3" t="s">
        <v>186</v>
      </c>
      <c r="F758" s="4">
        <v>1</v>
      </c>
      <c r="G758" s="5">
        <v>16.5</v>
      </c>
      <c r="H758" s="5">
        <f t="shared" si="11"/>
        <v>16.5</v>
      </c>
    </row>
    <row r="759" customFormat="1" hidden="1" spans="1:8">
      <c r="A759" s="2">
        <v>46163</v>
      </c>
      <c r="B759" s="3">
        <v>1605162</v>
      </c>
      <c r="C759" s="3" t="s">
        <v>153</v>
      </c>
      <c r="D759" s="4">
        <v>20318378</v>
      </c>
      <c r="E759" s="3" t="s">
        <v>231</v>
      </c>
      <c r="F759" s="4">
        <v>1</v>
      </c>
      <c r="G759" s="5">
        <v>16.5</v>
      </c>
      <c r="H759" s="5">
        <f t="shared" si="11"/>
        <v>16.5</v>
      </c>
    </row>
    <row r="760" customFormat="1" hidden="1" spans="1:8">
      <c r="A760" s="2">
        <v>46163</v>
      </c>
      <c r="B760" s="3">
        <v>1605162</v>
      </c>
      <c r="C760" s="3" t="s">
        <v>153</v>
      </c>
      <c r="D760" s="4">
        <v>20356051</v>
      </c>
      <c r="E760" s="3" t="s">
        <v>310</v>
      </c>
      <c r="F760" s="4">
        <v>1</v>
      </c>
      <c r="G760" s="5">
        <v>16.5</v>
      </c>
      <c r="H760" s="5">
        <f t="shared" si="11"/>
        <v>16.5</v>
      </c>
    </row>
    <row r="761" customFormat="1" hidden="1" spans="1:8">
      <c r="A761" s="2">
        <v>46163</v>
      </c>
      <c r="B761" s="3">
        <v>1605167</v>
      </c>
      <c r="C761" s="3" t="s">
        <v>150</v>
      </c>
      <c r="D761" s="4">
        <v>20312966</v>
      </c>
      <c r="E761" s="3" t="s">
        <v>258</v>
      </c>
      <c r="F761" s="4">
        <v>6</v>
      </c>
      <c r="G761" s="5">
        <v>159.5</v>
      </c>
      <c r="H761" s="5">
        <f t="shared" si="11"/>
        <v>957</v>
      </c>
    </row>
    <row r="762" customFormat="1" hidden="1" spans="1:8">
      <c r="A762" s="2">
        <v>46163</v>
      </c>
      <c r="B762" s="3">
        <v>1605167</v>
      </c>
      <c r="C762" s="3" t="s">
        <v>150</v>
      </c>
      <c r="D762" s="4">
        <v>20312965</v>
      </c>
      <c r="E762" s="3" t="s">
        <v>112</v>
      </c>
      <c r="F762" s="4">
        <v>3</v>
      </c>
      <c r="G762" s="5">
        <v>137.5</v>
      </c>
      <c r="H762" s="5">
        <f t="shared" si="11"/>
        <v>412.5</v>
      </c>
    </row>
    <row r="763" customFormat="1" hidden="1" spans="1:8">
      <c r="A763" s="2">
        <v>46163</v>
      </c>
      <c r="B763" s="3">
        <v>1605167</v>
      </c>
      <c r="C763" s="3" t="s">
        <v>150</v>
      </c>
      <c r="D763" s="4">
        <v>20312968</v>
      </c>
      <c r="E763" s="3" t="s">
        <v>276</v>
      </c>
      <c r="F763" s="4">
        <v>1</v>
      </c>
      <c r="G763" s="5">
        <v>187</v>
      </c>
      <c r="H763" s="5">
        <f t="shared" si="11"/>
        <v>187</v>
      </c>
    </row>
    <row r="764" customFormat="1" hidden="1" spans="1:8">
      <c r="A764" s="2">
        <v>46163</v>
      </c>
      <c r="B764" s="3">
        <v>1605167</v>
      </c>
      <c r="C764" s="3" t="s">
        <v>150</v>
      </c>
      <c r="D764" s="4">
        <v>20312967</v>
      </c>
      <c r="E764" s="3" t="s">
        <v>289</v>
      </c>
      <c r="F764" s="4">
        <v>4</v>
      </c>
      <c r="G764" s="5">
        <v>176</v>
      </c>
      <c r="H764" s="5">
        <f t="shared" si="11"/>
        <v>704</v>
      </c>
    </row>
    <row r="765" customFormat="1" hidden="1" spans="1:8">
      <c r="A765" s="2">
        <v>46163</v>
      </c>
      <c r="B765" s="3">
        <v>1605167</v>
      </c>
      <c r="C765" s="3" t="s">
        <v>153</v>
      </c>
      <c r="D765" s="4">
        <v>20318361</v>
      </c>
      <c r="E765" s="3" t="s">
        <v>185</v>
      </c>
      <c r="F765" s="4">
        <v>1</v>
      </c>
      <c r="G765" s="5">
        <v>16.5</v>
      </c>
      <c r="H765" s="5">
        <f t="shared" si="11"/>
        <v>16.5</v>
      </c>
    </row>
    <row r="766" customFormat="1" hidden="1" spans="1:8">
      <c r="A766" s="2">
        <v>46163</v>
      </c>
      <c r="B766" s="3">
        <v>1605167</v>
      </c>
      <c r="C766" s="3" t="s">
        <v>153</v>
      </c>
      <c r="D766" s="4">
        <v>20318336</v>
      </c>
      <c r="E766" s="3" t="s">
        <v>303</v>
      </c>
      <c r="F766" s="4">
        <v>1</v>
      </c>
      <c r="G766" s="5">
        <v>16.5</v>
      </c>
      <c r="H766" s="5">
        <f t="shared" si="11"/>
        <v>16.5</v>
      </c>
    </row>
    <row r="767" customFormat="1" hidden="1" spans="1:8">
      <c r="A767" s="2">
        <v>46163</v>
      </c>
      <c r="B767" s="3">
        <v>1605176</v>
      </c>
      <c r="C767" s="3" t="s">
        <v>152</v>
      </c>
      <c r="D767" s="4">
        <v>20366065</v>
      </c>
      <c r="E767" s="3" t="s">
        <v>196</v>
      </c>
      <c r="F767" s="4">
        <v>1</v>
      </c>
      <c r="G767" s="5">
        <v>71.5</v>
      </c>
      <c r="H767" s="5">
        <f t="shared" si="11"/>
        <v>71.5</v>
      </c>
    </row>
    <row r="768" customFormat="1" hidden="1" spans="1:8">
      <c r="A768" s="2">
        <v>46163</v>
      </c>
      <c r="B768" s="3">
        <v>1605176</v>
      </c>
      <c r="C768" s="3" t="s">
        <v>153</v>
      </c>
      <c r="D768" s="4">
        <v>20318360</v>
      </c>
      <c r="E768" s="3" t="s">
        <v>168</v>
      </c>
      <c r="F768" s="4">
        <v>1</v>
      </c>
      <c r="G768" s="5">
        <v>33</v>
      </c>
      <c r="H768" s="5">
        <f t="shared" si="11"/>
        <v>33</v>
      </c>
    </row>
    <row r="769" customFormat="1" hidden="1" spans="1:8">
      <c r="A769" s="2">
        <v>46163</v>
      </c>
      <c r="B769" s="3">
        <v>1605176</v>
      </c>
      <c r="C769" s="3" t="s">
        <v>153</v>
      </c>
      <c r="D769" s="4">
        <v>20318380</v>
      </c>
      <c r="E769" s="3" t="s">
        <v>232</v>
      </c>
      <c r="F769" s="4">
        <v>1</v>
      </c>
      <c r="G769" s="5">
        <v>16.5</v>
      </c>
      <c r="H769" s="5">
        <f t="shared" si="11"/>
        <v>16.5</v>
      </c>
    </row>
    <row r="770" customFormat="1" hidden="1" spans="1:8">
      <c r="A770" s="2">
        <v>46163</v>
      </c>
      <c r="B770" s="3">
        <v>1605176</v>
      </c>
      <c r="C770" s="3" t="s">
        <v>153</v>
      </c>
      <c r="D770" s="4">
        <v>20321250</v>
      </c>
      <c r="E770" s="3" t="s">
        <v>259</v>
      </c>
      <c r="F770" s="4">
        <v>1</v>
      </c>
      <c r="G770" s="5">
        <v>16.5</v>
      </c>
      <c r="H770" s="5">
        <f t="shared" ref="H770:H833" si="12">G770*F770</f>
        <v>16.5</v>
      </c>
    </row>
    <row r="771" customFormat="1" hidden="1" spans="1:8">
      <c r="A771" s="2">
        <v>46163</v>
      </c>
      <c r="B771" s="3">
        <v>1605218</v>
      </c>
      <c r="C771" s="3" t="s">
        <v>156</v>
      </c>
      <c r="D771" s="4">
        <v>20330757</v>
      </c>
      <c r="E771" s="3" t="s">
        <v>288</v>
      </c>
      <c r="F771" s="4">
        <v>2</v>
      </c>
      <c r="G771" s="5">
        <v>35</v>
      </c>
      <c r="H771" s="5">
        <f t="shared" si="12"/>
        <v>70</v>
      </c>
    </row>
    <row r="772" customFormat="1" hidden="1" spans="1:8">
      <c r="A772" s="2">
        <v>46163</v>
      </c>
      <c r="B772" s="3">
        <v>1605236</v>
      </c>
      <c r="C772" s="3" t="s">
        <v>150</v>
      </c>
      <c r="D772" s="4">
        <v>20321252</v>
      </c>
      <c r="E772" s="3" t="s">
        <v>162</v>
      </c>
      <c r="F772" s="4">
        <v>1</v>
      </c>
      <c r="G772" s="5">
        <v>49.5</v>
      </c>
      <c r="H772" s="5">
        <f t="shared" si="12"/>
        <v>49.5</v>
      </c>
    </row>
    <row r="773" customFormat="1" hidden="1" spans="1:8">
      <c r="A773" s="2">
        <v>46163</v>
      </c>
      <c r="B773" s="3">
        <v>1605236</v>
      </c>
      <c r="C773" s="3" t="s">
        <v>150</v>
      </c>
      <c r="D773" s="4">
        <v>20312966</v>
      </c>
      <c r="E773" s="3" t="s">
        <v>258</v>
      </c>
      <c r="F773" s="4">
        <v>1</v>
      </c>
      <c r="G773" s="5">
        <v>159.5</v>
      </c>
      <c r="H773" s="5">
        <f t="shared" si="12"/>
        <v>159.5</v>
      </c>
    </row>
    <row r="774" customFormat="1" hidden="1" spans="1:8">
      <c r="A774" s="10">
        <v>46163</v>
      </c>
      <c r="B774" s="11">
        <v>1605236</v>
      </c>
      <c r="C774" s="11" t="s">
        <v>150</v>
      </c>
      <c r="D774" s="12">
        <v>20334934</v>
      </c>
      <c r="E774" s="11" t="s">
        <v>262</v>
      </c>
      <c r="F774" s="12">
        <v>1</v>
      </c>
      <c r="G774" s="13">
        <v>121</v>
      </c>
      <c r="H774" s="13">
        <f t="shared" si="12"/>
        <v>121</v>
      </c>
    </row>
    <row r="775" customFormat="1" hidden="1" spans="1:8">
      <c r="A775" s="2">
        <v>46163</v>
      </c>
      <c r="B775" s="3">
        <v>1605236</v>
      </c>
      <c r="C775" s="3" t="s">
        <v>150</v>
      </c>
      <c r="D775" s="4">
        <v>20312965</v>
      </c>
      <c r="E775" s="3" t="s">
        <v>112</v>
      </c>
      <c r="F775" s="4">
        <v>4</v>
      </c>
      <c r="G775" s="5">
        <v>137.5</v>
      </c>
      <c r="H775" s="5">
        <f t="shared" si="12"/>
        <v>550</v>
      </c>
    </row>
    <row r="776" customFormat="1" hidden="1" spans="1:8">
      <c r="A776" s="2">
        <v>46163</v>
      </c>
      <c r="B776" s="3">
        <v>1605236</v>
      </c>
      <c r="C776" s="3" t="s">
        <v>150</v>
      </c>
      <c r="D776" s="4">
        <v>20312967</v>
      </c>
      <c r="E776" s="3" t="s">
        <v>289</v>
      </c>
      <c r="F776" s="4">
        <v>2</v>
      </c>
      <c r="G776" s="5">
        <v>176</v>
      </c>
      <c r="H776" s="5">
        <f t="shared" si="12"/>
        <v>352</v>
      </c>
    </row>
    <row r="777" customFormat="1" hidden="1" spans="1:8">
      <c r="A777" s="2">
        <v>46163</v>
      </c>
      <c r="B777" s="3">
        <v>1605236</v>
      </c>
      <c r="C777" s="3" t="s">
        <v>150</v>
      </c>
      <c r="D777" s="4">
        <v>20321251</v>
      </c>
      <c r="E777" s="3" t="s">
        <v>311</v>
      </c>
      <c r="F777" s="4">
        <v>1</v>
      </c>
      <c r="G777" s="5">
        <v>187</v>
      </c>
      <c r="H777" s="5">
        <f t="shared" si="12"/>
        <v>187</v>
      </c>
    </row>
    <row r="778" customFormat="1" hidden="1" spans="1:8">
      <c r="A778" s="2">
        <v>46163</v>
      </c>
      <c r="B778" s="3">
        <v>1605236</v>
      </c>
      <c r="C778" s="3" t="s">
        <v>156</v>
      </c>
      <c r="D778" s="4">
        <v>20391359</v>
      </c>
      <c r="E778" s="3" t="s">
        <v>204</v>
      </c>
      <c r="F778" s="4">
        <v>1</v>
      </c>
      <c r="G778" s="5">
        <v>25</v>
      </c>
      <c r="H778" s="5">
        <f t="shared" si="12"/>
        <v>25</v>
      </c>
    </row>
    <row r="779" customFormat="1" hidden="1" spans="1:8">
      <c r="A779" s="2">
        <v>46163</v>
      </c>
      <c r="B779" s="3">
        <v>1605236</v>
      </c>
      <c r="C779" s="3" t="s">
        <v>156</v>
      </c>
      <c r="D779" s="4">
        <v>20322243</v>
      </c>
      <c r="E779" s="3" t="s">
        <v>117</v>
      </c>
      <c r="F779" s="4">
        <v>2</v>
      </c>
      <c r="G779" s="5">
        <v>30</v>
      </c>
      <c r="H779" s="5">
        <f t="shared" si="12"/>
        <v>60</v>
      </c>
    </row>
    <row r="780" customFormat="1" hidden="1" spans="1:8">
      <c r="A780" s="2">
        <v>46163</v>
      </c>
      <c r="B780" s="3">
        <v>1605236</v>
      </c>
      <c r="C780" s="3" t="s">
        <v>153</v>
      </c>
      <c r="D780" s="4">
        <v>20318334</v>
      </c>
      <c r="E780" s="3" t="s">
        <v>186</v>
      </c>
      <c r="F780" s="4">
        <v>1</v>
      </c>
      <c r="G780" s="5">
        <v>16.5</v>
      </c>
      <c r="H780" s="5">
        <f t="shared" si="12"/>
        <v>16.5</v>
      </c>
    </row>
    <row r="781" customFormat="1" hidden="1" spans="1:8">
      <c r="A781" s="2">
        <v>46163</v>
      </c>
      <c r="B781" s="3">
        <v>1605236</v>
      </c>
      <c r="C781" s="3" t="s">
        <v>153</v>
      </c>
      <c r="D781" s="4">
        <v>20343399</v>
      </c>
      <c r="E781" s="3" t="s">
        <v>228</v>
      </c>
      <c r="F781" s="4">
        <v>1</v>
      </c>
      <c r="G781" s="5">
        <v>33</v>
      </c>
      <c r="H781" s="5">
        <f t="shared" si="12"/>
        <v>33</v>
      </c>
    </row>
    <row r="782" customFormat="1" hidden="1" spans="1:8">
      <c r="A782" s="2">
        <v>46163</v>
      </c>
      <c r="B782" s="3">
        <v>1605236</v>
      </c>
      <c r="C782" s="3" t="s">
        <v>153</v>
      </c>
      <c r="D782" s="4">
        <v>20321250</v>
      </c>
      <c r="E782" s="3" t="s">
        <v>259</v>
      </c>
      <c r="F782" s="4">
        <v>1</v>
      </c>
      <c r="G782" s="5">
        <v>16.5</v>
      </c>
      <c r="H782" s="5">
        <f t="shared" si="12"/>
        <v>16.5</v>
      </c>
    </row>
    <row r="783" customFormat="1" hidden="1" spans="1:8">
      <c r="A783" s="2">
        <v>46163</v>
      </c>
      <c r="B783" s="3">
        <v>1605242</v>
      </c>
      <c r="C783" s="3" t="s">
        <v>153</v>
      </c>
      <c r="D783" s="4">
        <v>20014824</v>
      </c>
      <c r="E783" s="3" t="s">
        <v>85</v>
      </c>
      <c r="F783" s="4">
        <v>1</v>
      </c>
      <c r="G783" s="5">
        <v>16.5</v>
      </c>
      <c r="H783" s="5">
        <f t="shared" si="12"/>
        <v>16.5</v>
      </c>
    </row>
    <row r="784" customFormat="1" hidden="1" spans="1:8">
      <c r="A784" s="2">
        <v>46163</v>
      </c>
      <c r="B784" s="3">
        <v>1605242</v>
      </c>
      <c r="C784" s="3" t="s">
        <v>153</v>
      </c>
      <c r="D784" s="4">
        <v>20318380</v>
      </c>
      <c r="E784" s="3" t="s">
        <v>232</v>
      </c>
      <c r="F784" s="4">
        <v>1</v>
      </c>
      <c r="G784" s="5">
        <v>16.5</v>
      </c>
      <c r="H784" s="5">
        <f t="shared" si="12"/>
        <v>16.5</v>
      </c>
    </row>
    <row r="785" customFormat="1" hidden="1" spans="1:8">
      <c r="A785" s="2">
        <v>46163</v>
      </c>
      <c r="B785" s="3">
        <v>1605242</v>
      </c>
      <c r="C785" s="3" t="s">
        <v>153</v>
      </c>
      <c r="D785" s="4">
        <v>20318340</v>
      </c>
      <c r="E785" s="3" t="s">
        <v>240</v>
      </c>
      <c r="F785" s="4">
        <v>1</v>
      </c>
      <c r="G785" s="5">
        <v>16.5</v>
      </c>
      <c r="H785" s="5">
        <f t="shared" si="12"/>
        <v>16.5</v>
      </c>
    </row>
    <row r="786" customFormat="1" hidden="1" spans="1:8">
      <c r="A786" s="2">
        <v>46163</v>
      </c>
      <c r="B786" s="3">
        <v>1605242</v>
      </c>
      <c r="C786" s="3" t="s">
        <v>153</v>
      </c>
      <c r="D786" s="4">
        <v>20318379</v>
      </c>
      <c r="E786" s="3" t="s">
        <v>127</v>
      </c>
      <c r="F786" s="4">
        <v>1</v>
      </c>
      <c r="G786" s="5">
        <v>16.5</v>
      </c>
      <c r="H786" s="5">
        <f t="shared" si="12"/>
        <v>16.5</v>
      </c>
    </row>
    <row r="787" customFormat="1" hidden="1" spans="1:8">
      <c r="A787" s="2">
        <v>46163</v>
      </c>
      <c r="B787" s="3">
        <v>1605242</v>
      </c>
      <c r="C787" s="3" t="s">
        <v>153</v>
      </c>
      <c r="D787" s="4">
        <v>20318336</v>
      </c>
      <c r="E787" s="3" t="s">
        <v>303</v>
      </c>
      <c r="F787" s="4">
        <v>1</v>
      </c>
      <c r="G787" s="5">
        <v>16.5</v>
      </c>
      <c r="H787" s="5">
        <f t="shared" si="12"/>
        <v>16.5</v>
      </c>
    </row>
    <row r="788" customFormat="1" hidden="1" spans="1:8">
      <c r="A788" s="2">
        <v>46163</v>
      </c>
      <c r="B788" s="3">
        <v>1605242</v>
      </c>
      <c r="C788" s="3" t="s">
        <v>153</v>
      </c>
      <c r="D788" s="4">
        <v>20318393</v>
      </c>
      <c r="E788" s="3" t="s">
        <v>140</v>
      </c>
      <c r="F788" s="4">
        <v>1</v>
      </c>
      <c r="G788" s="5">
        <v>16.5</v>
      </c>
      <c r="H788" s="5">
        <f t="shared" si="12"/>
        <v>16.5</v>
      </c>
    </row>
    <row r="789" customFormat="1" hidden="1" spans="1:8">
      <c r="A789" s="2">
        <v>46163</v>
      </c>
      <c r="B789" s="3">
        <v>1605256</v>
      </c>
      <c r="C789" s="3" t="s">
        <v>150</v>
      </c>
      <c r="D789" s="4">
        <v>20321476</v>
      </c>
      <c r="E789" s="3" t="s">
        <v>161</v>
      </c>
      <c r="F789" s="4">
        <v>1</v>
      </c>
      <c r="G789" s="5">
        <v>55</v>
      </c>
      <c r="H789" s="5">
        <f t="shared" si="12"/>
        <v>55</v>
      </c>
    </row>
    <row r="790" customFormat="1" hidden="1" spans="1:8">
      <c r="A790" s="2">
        <v>46163</v>
      </c>
      <c r="B790" s="3">
        <v>1605256</v>
      </c>
      <c r="C790" s="3" t="s">
        <v>150</v>
      </c>
      <c r="D790" s="4">
        <v>20380117</v>
      </c>
      <c r="E790" s="3" t="s">
        <v>225</v>
      </c>
      <c r="F790" s="4">
        <v>1</v>
      </c>
      <c r="G790" s="5">
        <v>49.5</v>
      </c>
      <c r="H790" s="5">
        <f t="shared" si="12"/>
        <v>49.5</v>
      </c>
    </row>
    <row r="791" customFormat="1" hidden="1" spans="1:8">
      <c r="A791" s="2">
        <v>46163</v>
      </c>
      <c r="B791" s="3">
        <v>1605256</v>
      </c>
      <c r="C791" s="3" t="s">
        <v>150</v>
      </c>
      <c r="D791" s="4">
        <v>20318353</v>
      </c>
      <c r="E791" s="3" t="s">
        <v>235</v>
      </c>
      <c r="F791" s="4">
        <v>1</v>
      </c>
      <c r="G791" s="5">
        <v>66</v>
      </c>
      <c r="H791" s="5">
        <f t="shared" si="12"/>
        <v>66</v>
      </c>
    </row>
    <row r="792" customFormat="1" hidden="1" spans="1:8">
      <c r="A792" s="2">
        <v>46163</v>
      </c>
      <c r="B792" s="3">
        <v>1605256</v>
      </c>
      <c r="C792" s="3" t="s">
        <v>150</v>
      </c>
      <c r="D792" s="4">
        <v>20312966</v>
      </c>
      <c r="E792" s="3" t="s">
        <v>258</v>
      </c>
      <c r="F792" s="4">
        <v>6</v>
      </c>
      <c r="G792" s="5">
        <v>159.5</v>
      </c>
      <c r="H792" s="5">
        <f t="shared" si="12"/>
        <v>957</v>
      </c>
    </row>
    <row r="793" customFormat="1" hidden="1" spans="1:8">
      <c r="A793" s="2">
        <v>46163</v>
      </c>
      <c r="B793" s="3">
        <v>1605256</v>
      </c>
      <c r="C793" s="3" t="s">
        <v>150</v>
      </c>
      <c r="D793" s="4">
        <v>20312965</v>
      </c>
      <c r="E793" s="3" t="s">
        <v>112</v>
      </c>
      <c r="F793" s="4">
        <v>2</v>
      </c>
      <c r="G793" s="5">
        <v>137.5</v>
      </c>
      <c r="H793" s="5">
        <f t="shared" si="12"/>
        <v>275</v>
      </c>
    </row>
    <row r="794" customFormat="1" hidden="1" spans="1:8">
      <c r="A794" s="2">
        <v>46163</v>
      </c>
      <c r="B794" s="3">
        <v>1605256</v>
      </c>
      <c r="C794" s="3" t="s">
        <v>150</v>
      </c>
      <c r="D794" s="4">
        <v>20312967</v>
      </c>
      <c r="E794" s="3" t="s">
        <v>289</v>
      </c>
      <c r="F794" s="4">
        <v>8</v>
      </c>
      <c r="G794" s="5">
        <v>176</v>
      </c>
      <c r="H794" s="5">
        <f t="shared" si="12"/>
        <v>1408</v>
      </c>
    </row>
    <row r="795" customFormat="1" hidden="1" spans="1:8">
      <c r="A795" s="2">
        <v>46163</v>
      </c>
      <c r="B795" s="3">
        <v>1605256</v>
      </c>
      <c r="C795" s="3" t="s">
        <v>150</v>
      </c>
      <c r="D795" s="4">
        <v>20408959</v>
      </c>
      <c r="E795" s="3" t="s">
        <v>294</v>
      </c>
      <c r="F795" s="4">
        <v>1</v>
      </c>
      <c r="G795" s="5">
        <v>60.5</v>
      </c>
      <c r="H795" s="5">
        <f t="shared" si="12"/>
        <v>60.5</v>
      </c>
    </row>
    <row r="796" customFormat="1" hidden="1" spans="1:8">
      <c r="A796" s="2">
        <v>46163</v>
      </c>
      <c r="B796" s="3">
        <v>1605256</v>
      </c>
      <c r="C796" s="3" t="s">
        <v>150</v>
      </c>
      <c r="D796" s="4">
        <v>20424417</v>
      </c>
      <c r="E796" s="3" t="s">
        <v>312</v>
      </c>
      <c r="F796" s="4">
        <v>1</v>
      </c>
      <c r="G796" s="5">
        <v>66</v>
      </c>
      <c r="H796" s="5">
        <f t="shared" si="12"/>
        <v>66</v>
      </c>
    </row>
    <row r="797" customFormat="1" hidden="1" spans="1:8">
      <c r="A797" s="2">
        <v>46163</v>
      </c>
      <c r="B797" s="3">
        <v>1605256</v>
      </c>
      <c r="C797" s="3" t="s">
        <v>151</v>
      </c>
      <c r="D797" s="4">
        <v>20424977</v>
      </c>
      <c r="E797" s="3" t="s">
        <v>178</v>
      </c>
      <c r="F797" s="4">
        <v>1</v>
      </c>
      <c r="G797" s="5">
        <v>8</v>
      </c>
      <c r="H797" s="5">
        <f t="shared" si="12"/>
        <v>8</v>
      </c>
    </row>
    <row r="798" customFormat="1" hidden="1" spans="1:8">
      <c r="A798" s="2">
        <v>46163</v>
      </c>
      <c r="B798" s="3">
        <v>1605256</v>
      </c>
      <c r="C798" s="3" t="s">
        <v>156</v>
      </c>
      <c r="D798" s="4">
        <v>20330757</v>
      </c>
      <c r="E798" s="3" t="s">
        <v>288</v>
      </c>
      <c r="F798" s="4">
        <v>2</v>
      </c>
      <c r="G798" s="5">
        <v>35</v>
      </c>
      <c r="H798" s="5">
        <f t="shared" si="12"/>
        <v>70</v>
      </c>
    </row>
    <row r="799" customFormat="1" hidden="1" spans="1:8">
      <c r="A799" s="2">
        <v>46163</v>
      </c>
      <c r="B799" s="3">
        <v>1605256</v>
      </c>
      <c r="C799" s="3" t="s">
        <v>152</v>
      </c>
      <c r="D799" s="4">
        <v>20366063</v>
      </c>
      <c r="E799" s="3" t="s">
        <v>193</v>
      </c>
      <c r="F799" s="4">
        <v>1</v>
      </c>
      <c r="G799" s="5">
        <v>66</v>
      </c>
      <c r="H799" s="5">
        <f t="shared" si="12"/>
        <v>66</v>
      </c>
    </row>
    <row r="800" customFormat="1" hidden="1" spans="1:8">
      <c r="A800" s="2">
        <v>46163</v>
      </c>
      <c r="B800" s="3">
        <v>1605256</v>
      </c>
      <c r="C800" s="3" t="s">
        <v>153</v>
      </c>
      <c r="D800" s="4">
        <v>20321257</v>
      </c>
      <c r="E800" s="3" t="s">
        <v>68</v>
      </c>
      <c r="F800" s="4">
        <v>1</v>
      </c>
      <c r="G800" s="5">
        <v>16.5</v>
      </c>
      <c r="H800" s="5">
        <f t="shared" si="12"/>
        <v>16.5</v>
      </c>
    </row>
    <row r="801" customFormat="1" hidden="1" spans="1:8">
      <c r="A801" s="2">
        <v>46163</v>
      </c>
      <c r="B801" s="3">
        <v>1605256</v>
      </c>
      <c r="C801" s="3" t="s">
        <v>153</v>
      </c>
      <c r="D801" s="4">
        <v>20318334</v>
      </c>
      <c r="E801" s="3" t="s">
        <v>186</v>
      </c>
      <c r="F801" s="4">
        <v>1</v>
      </c>
      <c r="G801" s="5">
        <v>16.5</v>
      </c>
      <c r="H801" s="5">
        <f t="shared" si="12"/>
        <v>16.5</v>
      </c>
    </row>
    <row r="802" customFormat="1" hidden="1" spans="1:8">
      <c r="A802" s="2">
        <v>46163</v>
      </c>
      <c r="B802" s="3">
        <v>1605256</v>
      </c>
      <c r="C802" s="3" t="s">
        <v>153</v>
      </c>
      <c r="D802" s="4">
        <v>20343399</v>
      </c>
      <c r="E802" s="3" t="s">
        <v>228</v>
      </c>
      <c r="F802" s="4">
        <v>1</v>
      </c>
      <c r="G802" s="5">
        <v>33</v>
      </c>
      <c r="H802" s="5">
        <f t="shared" si="12"/>
        <v>33</v>
      </c>
    </row>
    <row r="803" customFormat="1" hidden="1" spans="1:8">
      <c r="A803" s="2">
        <v>46163</v>
      </c>
      <c r="B803" s="3">
        <v>1605256</v>
      </c>
      <c r="C803" s="3" t="s">
        <v>153</v>
      </c>
      <c r="D803" s="4">
        <v>20318378</v>
      </c>
      <c r="E803" s="3" t="s">
        <v>231</v>
      </c>
      <c r="F803" s="4">
        <v>1</v>
      </c>
      <c r="G803" s="5">
        <v>16.5</v>
      </c>
      <c r="H803" s="5">
        <f t="shared" si="12"/>
        <v>16.5</v>
      </c>
    </row>
    <row r="804" customFormat="1" hidden="1" spans="1:8">
      <c r="A804" s="2">
        <v>46163</v>
      </c>
      <c r="B804" s="3">
        <v>1605256</v>
      </c>
      <c r="C804" s="3" t="s">
        <v>153</v>
      </c>
      <c r="D804" s="4">
        <v>20318380</v>
      </c>
      <c r="E804" s="3" t="s">
        <v>232</v>
      </c>
      <c r="F804" s="4">
        <v>1</v>
      </c>
      <c r="G804" s="5">
        <v>16.5</v>
      </c>
      <c r="H804" s="5">
        <f t="shared" si="12"/>
        <v>16.5</v>
      </c>
    </row>
    <row r="805" customFormat="1" hidden="1" spans="1:8">
      <c r="A805" s="2">
        <v>46163</v>
      </c>
      <c r="B805" s="3">
        <v>1605256</v>
      </c>
      <c r="C805" s="3" t="s">
        <v>153</v>
      </c>
      <c r="D805" s="4">
        <v>20318340</v>
      </c>
      <c r="E805" s="3" t="s">
        <v>240</v>
      </c>
      <c r="F805" s="4">
        <v>3</v>
      </c>
      <c r="G805" s="5">
        <v>16.5</v>
      </c>
      <c r="H805" s="5">
        <f t="shared" si="12"/>
        <v>49.5</v>
      </c>
    </row>
    <row r="806" customFormat="1" hidden="1" spans="1:8">
      <c r="A806" s="2">
        <v>46163</v>
      </c>
      <c r="B806" s="3">
        <v>1605256</v>
      </c>
      <c r="C806" s="3" t="s">
        <v>153</v>
      </c>
      <c r="D806" s="4">
        <v>20321250</v>
      </c>
      <c r="E806" s="3" t="s">
        <v>259</v>
      </c>
      <c r="F806" s="4">
        <v>1</v>
      </c>
      <c r="G806" s="5">
        <v>16.5</v>
      </c>
      <c r="H806" s="5">
        <f t="shared" si="12"/>
        <v>16.5</v>
      </c>
    </row>
    <row r="807" customFormat="1" hidden="1" spans="1:8">
      <c r="A807" s="2">
        <v>46163</v>
      </c>
      <c r="B807" s="3">
        <v>1605256</v>
      </c>
      <c r="C807" s="3" t="s">
        <v>153</v>
      </c>
      <c r="D807" s="4">
        <v>20340289</v>
      </c>
      <c r="E807" s="3" t="s">
        <v>272</v>
      </c>
      <c r="F807" s="4">
        <v>1</v>
      </c>
      <c r="G807" s="5">
        <v>16.5</v>
      </c>
      <c r="H807" s="5">
        <f t="shared" si="12"/>
        <v>16.5</v>
      </c>
    </row>
    <row r="808" customFormat="1" hidden="1" spans="1:8">
      <c r="A808" s="2">
        <v>46163</v>
      </c>
      <c r="B808" s="3">
        <v>1605256</v>
      </c>
      <c r="C808" s="3" t="s">
        <v>153</v>
      </c>
      <c r="D808" s="4">
        <v>20318389</v>
      </c>
      <c r="E808" s="3" t="s">
        <v>302</v>
      </c>
      <c r="F808" s="4">
        <v>1</v>
      </c>
      <c r="G808" s="5">
        <v>16.5</v>
      </c>
      <c r="H808" s="5">
        <f t="shared" si="12"/>
        <v>16.5</v>
      </c>
    </row>
    <row r="809" customFormat="1" hidden="1" spans="1:8">
      <c r="A809" s="2">
        <v>46163</v>
      </c>
      <c r="B809" s="3">
        <v>1605256</v>
      </c>
      <c r="C809" s="3" t="s">
        <v>153</v>
      </c>
      <c r="D809" s="4">
        <v>20318336</v>
      </c>
      <c r="E809" s="3" t="s">
        <v>303</v>
      </c>
      <c r="F809" s="4">
        <v>1</v>
      </c>
      <c r="G809" s="5">
        <v>16.5</v>
      </c>
      <c r="H809" s="5">
        <f t="shared" si="12"/>
        <v>16.5</v>
      </c>
    </row>
    <row r="810" customFormat="1" hidden="1" spans="1:8">
      <c r="A810" s="2">
        <v>46163</v>
      </c>
      <c r="B810" s="3">
        <v>1605256</v>
      </c>
      <c r="C810" s="3" t="s">
        <v>153</v>
      </c>
      <c r="D810" s="4">
        <v>20318342</v>
      </c>
      <c r="E810" s="3" t="s">
        <v>304</v>
      </c>
      <c r="F810" s="4">
        <v>1</v>
      </c>
      <c r="G810" s="5">
        <v>16.5</v>
      </c>
      <c r="H810" s="5">
        <f t="shared" si="12"/>
        <v>16.5</v>
      </c>
    </row>
    <row r="811" customFormat="1" hidden="1" spans="1:8">
      <c r="A811" s="2">
        <v>46163</v>
      </c>
      <c r="B811" s="3">
        <v>1605259</v>
      </c>
      <c r="C811" s="3" t="s">
        <v>151</v>
      </c>
      <c r="D811" s="4">
        <v>20410296</v>
      </c>
      <c r="E811" s="3" t="s">
        <v>188</v>
      </c>
      <c r="F811" s="4">
        <v>1</v>
      </c>
      <c r="G811" s="5">
        <v>16.5</v>
      </c>
      <c r="H811" s="5">
        <f t="shared" si="12"/>
        <v>16.5</v>
      </c>
    </row>
    <row r="812" customFormat="1" hidden="1" spans="1:8">
      <c r="A812" s="2">
        <v>46164</v>
      </c>
      <c r="B812" s="3">
        <v>1605451</v>
      </c>
      <c r="C812" s="3" t="s">
        <v>151</v>
      </c>
      <c r="D812" s="4">
        <v>20425035</v>
      </c>
      <c r="E812" s="3" t="s">
        <v>167</v>
      </c>
      <c r="F812" s="4">
        <v>1</v>
      </c>
      <c r="G812" s="5">
        <f>4*5.5</f>
        <v>22</v>
      </c>
      <c r="H812" s="5">
        <f t="shared" si="12"/>
        <v>22</v>
      </c>
    </row>
    <row r="813" customFormat="1" hidden="1" spans="1:8">
      <c r="A813" s="2">
        <v>46164</v>
      </c>
      <c r="B813" s="3">
        <v>1605451</v>
      </c>
      <c r="C813" s="3" t="s">
        <v>151</v>
      </c>
      <c r="D813" s="4">
        <v>20410156</v>
      </c>
      <c r="E813" s="3" t="s">
        <v>192</v>
      </c>
      <c r="F813" s="4">
        <v>1</v>
      </c>
      <c r="G813" s="5">
        <v>16.5</v>
      </c>
      <c r="H813" s="5">
        <f t="shared" si="12"/>
        <v>16.5</v>
      </c>
    </row>
    <row r="814" customFormat="1" hidden="1" spans="1:8">
      <c r="A814" s="2">
        <v>46164</v>
      </c>
      <c r="B814" s="3">
        <v>1605451</v>
      </c>
      <c r="C814" s="3" t="s">
        <v>151</v>
      </c>
      <c r="D814" s="4">
        <v>20318363</v>
      </c>
      <c r="E814" s="3" t="s">
        <v>94</v>
      </c>
      <c r="F814" s="4">
        <v>1</v>
      </c>
      <c r="G814" s="5">
        <v>8</v>
      </c>
      <c r="H814" s="5">
        <f t="shared" si="12"/>
        <v>8</v>
      </c>
    </row>
    <row r="815" customFormat="1" hidden="1" spans="1:8">
      <c r="A815" s="2">
        <v>46164</v>
      </c>
      <c r="B815" s="3">
        <v>1605451</v>
      </c>
      <c r="C815" s="3" t="s">
        <v>151</v>
      </c>
      <c r="D815" s="4">
        <v>20318395</v>
      </c>
      <c r="E815" s="3" t="s">
        <v>309</v>
      </c>
      <c r="F815" s="4">
        <v>2</v>
      </c>
      <c r="G815" s="5">
        <v>16.5</v>
      </c>
      <c r="H815" s="5">
        <f t="shared" si="12"/>
        <v>33</v>
      </c>
    </row>
    <row r="816" customFormat="1" hidden="1" spans="1:8">
      <c r="A816" s="2">
        <v>46164</v>
      </c>
      <c r="B816" s="3">
        <v>1605451</v>
      </c>
      <c r="C816" s="3" t="s">
        <v>156</v>
      </c>
      <c r="D816" s="4">
        <v>20322235</v>
      </c>
      <c r="E816" s="3" t="s">
        <v>111</v>
      </c>
      <c r="F816" s="4">
        <v>7</v>
      </c>
      <c r="G816" s="5">
        <v>2.5</v>
      </c>
      <c r="H816" s="5">
        <f t="shared" si="12"/>
        <v>17.5</v>
      </c>
    </row>
    <row r="817" customFormat="1" hidden="1" spans="1:8">
      <c r="A817" s="2">
        <v>46164</v>
      </c>
      <c r="B817" s="3">
        <v>1605451</v>
      </c>
      <c r="C817" s="3" t="s">
        <v>156</v>
      </c>
      <c r="D817" s="4">
        <v>20322243</v>
      </c>
      <c r="E817" s="3" t="s">
        <v>117</v>
      </c>
      <c r="F817" s="4">
        <v>1</v>
      </c>
      <c r="G817" s="5">
        <v>30</v>
      </c>
      <c r="H817" s="5">
        <f t="shared" si="12"/>
        <v>30</v>
      </c>
    </row>
    <row r="818" customFormat="1" hidden="1" spans="1:8">
      <c r="A818" s="2">
        <v>46164</v>
      </c>
      <c r="B818" s="3">
        <v>1605451</v>
      </c>
      <c r="C818" s="3" t="s">
        <v>156</v>
      </c>
      <c r="D818" s="4">
        <v>20322304</v>
      </c>
      <c r="E818" s="3" t="s">
        <v>275</v>
      </c>
      <c r="F818" s="4">
        <v>6</v>
      </c>
      <c r="G818" s="5">
        <v>25</v>
      </c>
      <c r="H818" s="5">
        <f t="shared" si="12"/>
        <v>150</v>
      </c>
    </row>
    <row r="819" customFormat="1" hidden="1" spans="1:8">
      <c r="A819" s="2">
        <v>46164</v>
      </c>
      <c r="B819" s="3">
        <v>1605451</v>
      </c>
      <c r="C819" s="3" t="s">
        <v>156</v>
      </c>
      <c r="D819" s="4">
        <v>20330757</v>
      </c>
      <c r="E819" s="3" t="s">
        <v>288</v>
      </c>
      <c r="F819" s="4">
        <v>6</v>
      </c>
      <c r="G819" s="5">
        <v>35</v>
      </c>
      <c r="H819" s="5">
        <f t="shared" si="12"/>
        <v>210</v>
      </c>
    </row>
    <row r="820" customFormat="1" hidden="1" spans="1:8">
      <c r="A820" s="2">
        <v>46164</v>
      </c>
      <c r="B820" s="3">
        <v>1605451</v>
      </c>
      <c r="C820" s="3" t="s">
        <v>156</v>
      </c>
      <c r="D820" s="4">
        <v>20402355</v>
      </c>
      <c r="E820" s="3" t="s">
        <v>291</v>
      </c>
      <c r="F820" s="4">
        <v>1</v>
      </c>
      <c r="G820" s="5">
        <v>25</v>
      </c>
      <c r="H820" s="5">
        <f t="shared" si="12"/>
        <v>25</v>
      </c>
    </row>
    <row r="821" customFormat="1" hidden="1" spans="1:8">
      <c r="A821" s="2">
        <v>46164</v>
      </c>
      <c r="B821" s="3">
        <v>1605451</v>
      </c>
      <c r="C821" s="3" t="s">
        <v>153</v>
      </c>
      <c r="D821" s="4">
        <v>20321257</v>
      </c>
      <c r="E821" s="3" t="s">
        <v>68</v>
      </c>
      <c r="F821" s="4">
        <v>5</v>
      </c>
      <c r="G821" s="5">
        <v>16.5</v>
      </c>
      <c r="H821" s="5">
        <f t="shared" si="12"/>
        <v>82.5</v>
      </c>
    </row>
    <row r="822" customFormat="1" hidden="1" spans="1:8">
      <c r="A822" s="2">
        <v>46164</v>
      </c>
      <c r="B822" s="3">
        <v>1605451</v>
      </c>
      <c r="C822" s="3" t="s">
        <v>153</v>
      </c>
      <c r="D822" s="4">
        <v>20391176</v>
      </c>
      <c r="E822" s="3" t="s">
        <v>189</v>
      </c>
      <c r="F822" s="4">
        <v>1</v>
      </c>
      <c r="G822" s="5">
        <v>16.5</v>
      </c>
      <c r="H822" s="5">
        <f t="shared" si="12"/>
        <v>16.5</v>
      </c>
    </row>
    <row r="823" customFormat="1" hidden="1" spans="1:8">
      <c r="A823" s="2">
        <v>46164</v>
      </c>
      <c r="B823" s="3">
        <v>1605451</v>
      </c>
      <c r="C823" s="3" t="s">
        <v>153</v>
      </c>
      <c r="D823" s="4">
        <v>20318389</v>
      </c>
      <c r="E823" s="3" t="s">
        <v>302</v>
      </c>
      <c r="F823" s="4">
        <v>1</v>
      </c>
      <c r="G823" s="5">
        <v>16.5</v>
      </c>
      <c r="H823" s="5">
        <f t="shared" si="12"/>
        <v>16.5</v>
      </c>
    </row>
    <row r="824" customFormat="1" hidden="1" spans="1:8">
      <c r="A824" s="2">
        <v>46164</v>
      </c>
      <c r="B824" s="3">
        <v>1605452</v>
      </c>
      <c r="C824" s="3" t="s">
        <v>150</v>
      </c>
      <c r="D824" s="4">
        <v>20312966</v>
      </c>
      <c r="E824" s="3" t="s">
        <v>258</v>
      </c>
      <c r="F824" s="4">
        <v>3</v>
      </c>
      <c r="G824" s="5">
        <v>159.5</v>
      </c>
      <c r="H824" s="5">
        <f t="shared" si="12"/>
        <v>478.5</v>
      </c>
    </row>
    <row r="825" customFormat="1" hidden="1" spans="1:8">
      <c r="A825" s="2">
        <v>46164</v>
      </c>
      <c r="B825" s="3">
        <v>1605452</v>
      </c>
      <c r="C825" s="3" t="s">
        <v>150</v>
      </c>
      <c r="D825" s="4">
        <v>20312965</v>
      </c>
      <c r="E825" s="3" t="s">
        <v>112</v>
      </c>
      <c r="F825" s="4">
        <v>3</v>
      </c>
      <c r="G825" s="5">
        <v>137.5</v>
      </c>
      <c r="H825" s="5">
        <f t="shared" si="12"/>
        <v>412.5</v>
      </c>
    </row>
    <row r="826" customFormat="1" hidden="1" spans="1:8">
      <c r="A826" s="2">
        <v>46164</v>
      </c>
      <c r="B826" s="3">
        <v>1605452</v>
      </c>
      <c r="C826" s="3" t="s">
        <v>150</v>
      </c>
      <c r="D826" s="4">
        <v>20312967</v>
      </c>
      <c r="E826" s="3" t="s">
        <v>289</v>
      </c>
      <c r="F826" s="4">
        <v>8</v>
      </c>
      <c r="G826" s="5">
        <v>176</v>
      </c>
      <c r="H826" s="5">
        <f t="shared" si="12"/>
        <v>1408</v>
      </c>
    </row>
    <row r="827" customFormat="1" hidden="1" spans="1:8">
      <c r="A827" s="2">
        <v>46164</v>
      </c>
      <c r="B827" s="3">
        <v>1605452</v>
      </c>
      <c r="C827" s="3" t="s">
        <v>150</v>
      </c>
      <c r="D827" s="4">
        <v>20424417</v>
      </c>
      <c r="E827" s="3" t="s">
        <v>312</v>
      </c>
      <c r="F827" s="4">
        <v>2</v>
      </c>
      <c r="G827" s="5">
        <v>66</v>
      </c>
      <c r="H827" s="5">
        <f t="shared" si="12"/>
        <v>132</v>
      </c>
    </row>
    <row r="828" customFormat="1" hidden="1" spans="1:8">
      <c r="A828" s="6">
        <v>46164</v>
      </c>
      <c r="B828" s="7">
        <v>1605452</v>
      </c>
      <c r="C828" s="7" t="s">
        <v>316</v>
      </c>
      <c r="D828" s="8">
        <v>20348155</v>
      </c>
      <c r="E828" s="7" t="s">
        <v>279</v>
      </c>
      <c r="F828" s="8">
        <v>1</v>
      </c>
      <c r="G828" s="9">
        <v>25</v>
      </c>
      <c r="H828" s="9">
        <f t="shared" si="12"/>
        <v>25</v>
      </c>
    </row>
    <row r="829" customFormat="1" hidden="1" spans="1:8">
      <c r="A829" s="2">
        <v>46164</v>
      </c>
      <c r="B829" s="3">
        <v>1605452</v>
      </c>
      <c r="C829" s="3" t="s">
        <v>153</v>
      </c>
      <c r="D829" s="4">
        <v>20335601</v>
      </c>
      <c r="E829" s="3" t="s">
        <v>200</v>
      </c>
      <c r="F829" s="4">
        <v>1</v>
      </c>
      <c r="G829" s="5">
        <v>16.5</v>
      </c>
      <c r="H829" s="5">
        <f t="shared" si="12"/>
        <v>16.5</v>
      </c>
    </row>
    <row r="830" customFormat="1" hidden="1" spans="1:8">
      <c r="A830" s="2">
        <v>46164</v>
      </c>
      <c r="B830" s="3">
        <v>1605452</v>
      </c>
      <c r="C830" s="3" t="s">
        <v>153</v>
      </c>
      <c r="D830" s="4">
        <v>20014824</v>
      </c>
      <c r="E830" s="3" t="s">
        <v>85</v>
      </c>
      <c r="F830" s="4">
        <v>1</v>
      </c>
      <c r="G830" s="5">
        <v>16.5</v>
      </c>
      <c r="H830" s="5">
        <f t="shared" si="12"/>
        <v>16.5</v>
      </c>
    </row>
    <row r="831" customFormat="1" hidden="1" spans="1:8">
      <c r="A831" s="2">
        <v>46164</v>
      </c>
      <c r="B831" s="3">
        <v>1605452</v>
      </c>
      <c r="C831" s="3" t="s">
        <v>153</v>
      </c>
      <c r="D831" s="4">
        <v>20343399</v>
      </c>
      <c r="E831" s="3" t="s">
        <v>228</v>
      </c>
      <c r="F831" s="4">
        <v>1</v>
      </c>
      <c r="G831" s="5">
        <v>33</v>
      </c>
      <c r="H831" s="5">
        <f t="shared" si="12"/>
        <v>33</v>
      </c>
    </row>
    <row r="832" customFormat="1" hidden="1" spans="1:8">
      <c r="A832" s="2">
        <v>46164</v>
      </c>
      <c r="B832" s="3">
        <v>1605452</v>
      </c>
      <c r="C832" s="3" t="s">
        <v>153</v>
      </c>
      <c r="D832" s="4">
        <v>20318378</v>
      </c>
      <c r="E832" s="3" t="s">
        <v>231</v>
      </c>
      <c r="F832" s="4">
        <v>1</v>
      </c>
      <c r="G832" s="5">
        <v>16.5</v>
      </c>
      <c r="H832" s="5">
        <f t="shared" si="12"/>
        <v>16.5</v>
      </c>
    </row>
    <row r="833" customFormat="1" hidden="1" spans="1:8">
      <c r="A833" s="2">
        <v>46164</v>
      </c>
      <c r="B833" s="3">
        <v>1605452</v>
      </c>
      <c r="C833" s="3" t="s">
        <v>153</v>
      </c>
      <c r="D833" s="4">
        <v>20321250</v>
      </c>
      <c r="E833" s="3" t="s">
        <v>259</v>
      </c>
      <c r="F833" s="4">
        <v>2</v>
      </c>
      <c r="G833" s="5">
        <v>16.5</v>
      </c>
      <c r="H833" s="5">
        <f t="shared" si="12"/>
        <v>33</v>
      </c>
    </row>
    <row r="834" customFormat="1" hidden="1" spans="1:8">
      <c r="A834" s="2">
        <v>46164</v>
      </c>
      <c r="B834" s="3">
        <v>1605452</v>
      </c>
      <c r="C834" s="3" t="s">
        <v>153</v>
      </c>
      <c r="D834" s="4">
        <v>20318342</v>
      </c>
      <c r="E834" s="3" t="s">
        <v>304</v>
      </c>
      <c r="F834" s="4">
        <v>2</v>
      </c>
      <c r="G834" s="5">
        <v>16.5</v>
      </c>
      <c r="H834" s="5">
        <f t="shared" ref="H834:H897" si="13">G834*F834</f>
        <v>33</v>
      </c>
    </row>
    <row r="835" customFormat="1" hidden="1" spans="1:8">
      <c r="A835" s="2">
        <v>46164</v>
      </c>
      <c r="B835" s="3">
        <v>1605452</v>
      </c>
      <c r="C835" s="3" t="s">
        <v>153</v>
      </c>
      <c r="D835" s="4">
        <v>20318362</v>
      </c>
      <c r="E835" s="3" t="s">
        <v>307</v>
      </c>
      <c r="F835" s="4">
        <v>1</v>
      </c>
      <c r="G835" s="5">
        <v>16.5</v>
      </c>
      <c r="H835" s="5">
        <f t="shared" si="13"/>
        <v>16.5</v>
      </c>
    </row>
    <row r="836" customFormat="1" hidden="1" spans="1:8">
      <c r="A836" s="2">
        <v>46164</v>
      </c>
      <c r="B836" s="3">
        <v>1605481</v>
      </c>
      <c r="C836" s="3" t="s">
        <v>150</v>
      </c>
      <c r="D836" s="4">
        <v>20321719</v>
      </c>
      <c r="E836" s="3" t="s">
        <v>163</v>
      </c>
      <c r="F836" s="4">
        <v>1</v>
      </c>
      <c r="G836" s="5">
        <v>49.5</v>
      </c>
      <c r="H836" s="5">
        <f t="shared" si="13"/>
        <v>49.5</v>
      </c>
    </row>
    <row r="837" customFormat="1" hidden="1" spans="1:8">
      <c r="A837" s="2">
        <v>46164</v>
      </c>
      <c r="B837" s="3">
        <v>1605481</v>
      </c>
      <c r="C837" s="3" t="s">
        <v>150</v>
      </c>
      <c r="D837" s="4">
        <v>20312966</v>
      </c>
      <c r="E837" s="3" t="s">
        <v>258</v>
      </c>
      <c r="F837" s="4">
        <v>5</v>
      </c>
      <c r="G837" s="5">
        <v>159.5</v>
      </c>
      <c r="H837" s="5">
        <f t="shared" si="13"/>
        <v>797.5</v>
      </c>
    </row>
    <row r="838" customFormat="1" hidden="1" spans="1:8">
      <c r="A838" s="2">
        <v>46164</v>
      </c>
      <c r="B838" s="3">
        <v>1605481</v>
      </c>
      <c r="C838" s="3" t="s">
        <v>150</v>
      </c>
      <c r="D838" s="4">
        <v>20312967</v>
      </c>
      <c r="E838" s="3" t="s">
        <v>289</v>
      </c>
      <c r="F838" s="4">
        <v>3</v>
      </c>
      <c r="G838" s="5">
        <v>176</v>
      </c>
      <c r="H838" s="5">
        <f t="shared" si="13"/>
        <v>528</v>
      </c>
    </row>
    <row r="839" customFormat="1" hidden="1" spans="1:8">
      <c r="A839" s="2">
        <v>46164</v>
      </c>
      <c r="B839" s="3">
        <v>1605481</v>
      </c>
      <c r="C839" s="3" t="s">
        <v>150</v>
      </c>
      <c r="D839" s="4">
        <v>20424417</v>
      </c>
      <c r="E839" s="3" t="s">
        <v>312</v>
      </c>
      <c r="F839" s="4">
        <v>1</v>
      </c>
      <c r="G839" s="5">
        <v>66</v>
      </c>
      <c r="H839" s="5">
        <f t="shared" si="13"/>
        <v>66</v>
      </c>
    </row>
    <row r="840" customFormat="1" hidden="1" spans="1:8">
      <c r="A840" s="2">
        <v>46164</v>
      </c>
      <c r="B840" s="3">
        <v>1605481</v>
      </c>
      <c r="C840" s="3" t="s">
        <v>151</v>
      </c>
      <c r="D840" s="4">
        <v>20410957</v>
      </c>
      <c r="E840" s="3" t="s">
        <v>197</v>
      </c>
      <c r="F840" s="4">
        <v>1</v>
      </c>
      <c r="G840" s="5">
        <v>16.5</v>
      </c>
      <c r="H840" s="5">
        <f t="shared" si="13"/>
        <v>16.5</v>
      </c>
    </row>
    <row r="841" customFormat="1" hidden="1" spans="1:8">
      <c r="A841" s="2">
        <v>46164</v>
      </c>
      <c r="B841" s="3">
        <v>1605481</v>
      </c>
      <c r="C841" s="3" t="s">
        <v>151</v>
      </c>
      <c r="D841" s="4">
        <v>20318363</v>
      </c>
      <c r="E841" s="3" t="s">
        <v>94</v>
      </c>
      <c r="F841" s="4">
        <v>1</v>
      </c>
      <c r="G841" s="5">
        <v>8</v>
      </c>
      <c r="H841" s="5">
        <f t="shared" si="13"/>
        <v>8</v>
      </c>
    </row>
    <row r="842" customFormat="1" hidden="1" spans="1:8">
      <c r="A842" s="2">
        <v>46164</v>
      </c>
      <c r="B842" s="3">
        <v>1605481</v>
      </c>
      <c r="C842" s="3" t="s">
        <v>152</v>
      </c>
      <c r="D842" s="4">
        <v>20366059</v>
      </c>
      <c r="E842" s="3" t="s">
        <v>194</v>
      </c>
      <c r="F842" s="4">
        <v>1</v>
      </c>
      <c r="G842" s="5">
        <v>66</v>
      </c>
      <c r="H842" s="5">
        <f t="shared" si="13"/>
        <v>66</v>
      </c>
    </row>
    <row r="843" customFormat="1" hidden="1" spans="1:8">
      <c r="A843" s="2">
        <v>46164</v>
      </c>
      <c r="B843" s="3">
        <v>1605481</v>
      </c>
      <c r="C843" s="3" t="s">
        <v>152</v>
      </c>
      <c r="D843" s="4">
        <v>20366064</v>
      </c>
      <c r="E843" s="3" t="s">
        <v>195</v>
      </c>
      <c r="F843" s="4">
        <v>1</v>
      </c>
      <c r="G843" s="5">
        <v>71.5</v>
      </c>
      <c r="H843" s="5">
        <f t="shared" si="13"/>
        <v>71.5</v>
      </c>
    </row>
    <row r="844" customFormat="1" hidden="1" spans="1:8">
      <c r="A844" s="2">
        <v>46164</v>
      </c>
      <c r="B844" s="3">
        <v>1605481</v>
      </c>
      <c r="C844" s="3" t="s">
        <v>152</v>
      </c>
      <c r="D844" s="4">
        <v>20366065</v>
      </c>
      <c r="E844" s="3" t="s">
        <v>196</v>
      </c>
      <c r="F844" s="4">
        <v>1</v>
      </c>
      <c r="G844" s="5">
        <v>71.5</v>
      </c>
      <c r="H844" s="5">
        <f t="shared" si="13"/>
        <v>71.5</v>
      </c>
    </row>
    <row r="845" customFormat="1" hidden="1" spans="1:8">
      <c r="A845" s="2">
        <v>46164</v>
      </c>
      <c r="B845" s="3">
        <v>1605481</v>
      </c>
      <c r="C845" s="3" t="s">
        <v>152</v>
      </c>
      <c r="D845" s="4">
        <v>20408950</v>
      </c>
      <c r="E845" s="3" t="s">
        <v>295</v>
      </c>
      <c r="F845" s="4">
        <v>1</v>
      </c>
      <c r="G845" s="5">
        <v>60.5</v>
      </c>
      <c r="H845" s="5">
        <f t="shared" si="13"/>
        <v>60.5</v>
      </c>
    </row>
    <row r="846" customFormat="1" hidden="1" spans="1:8">
      <c r="A846" s="2">
        <v>46164</v>
      </c>
      <c r="B846" s="3">
        <v>1605481</v>
      </c>
      <c r="C846" s="3" t="s">
        <v>153</v>
      </c>
      <c r="D846" s="4">
        <v>20321257</v>
      </c>
      <c r="E846" s="3" t="s">
        <v>68</v>
      </c>
      <c r="F846" s="4">
        <v>9</v>
      </c>
      <c r="G846" s="5">
        <v>16.5</v>
      </c>
      <c r="H846" s="5">
        <f t="shared" si="13"/>
        <v>148.5</v>
      </c>
    </row>
    <row r="847" customFormat="1" hidden="1" spans="1:8">
      <c r="A847" s="2">
        <v>46164</v>
      </c>
      <c r="B847" s="3">
        <v>1605481</v>
      </c>
      <c r="C847" s="3" t="s">
        <v>153</v>
      </c>
      <c r="D847" s="4">
        <v>20318334</v>
      </c>
      <c r="E847" s="3" t="s">
        <v>186</v>
      </c>
      <c r="F847" s="4">
        <v>1</v>
      </c>
      <c r="G847" s="5">
        <v>16.5</v>
      </c>
      <c r="H847" s="5">
        <f t="shared" si="13"/>
        <v>16.5</v>
      </c>
    </row>
    <row r="848" customFormat="1" hidden="1" spans="1:8">
      <c r="A848" s="2">
        <v>46164</v>
      </c>
      <c r="B848" s="3">
        <v>1605481</v>
      </c>
      <c r="C848" s="3" t="s">
        <v>153</v>
      </c>
      <c r="D848" s="4">
        <v>20318380</v>
      </c>
      <c r="E848" s="3" t="s">
        <v>232</v>
      </c>
      <c r="F848" s="4">
        <v>1</v>
      </c>
      <c r="G848" s="5">
        <v>16.5</v>
      </c>
      <c r="H848" s="5">
        <f t="shared" si="13"/>
        <v>16.5</v>
      </c>
    </row>
    <row r="849" customFormat="1" hidden="1" spans="1:8">
      <c r="A849" s="2">
        <v>46164</v>
      </c>
      <c r="B849" s="3">
        <v>1605481</v>
      </c>
      <c r="C849" s="3" t="s">
        <v>153</v>
      </c>
      <c r="D849" s="4">
        <v>20321502</v>
      </c>
      <c r="E849" s="3" t="s">
        <v>251</v>
      </c>
      <c r="F849" s="4">
        <v>1</v>
      </c>
      <c r="G849" s="5">
        <v>16.5</v>
      </c>
      <c r="H849" s="5">
        <f t="shared" si="13"/>
        <v>16.5</v>
      </c>
    </row>
    <row r="850" customFormat="1" hidden="1" spans="1:8">
      <c r="A850" s="2">
        <v>46164</v>
      </c>
      <c r="B850" s="3">
        <v>1605481</v>
      </c>
      <c r="C850" s="3" t="s">
        <v>153</v>
      </c>
      <c r="D850" s="4">
        <v>20321250</v>
      </c>
      <c r="E850" s="3" t="s">
        <v>259</v>
      </c>
      <c r="F850" s="4">
        <v>3</v>
      </c>
      <c r="G850" s="5">
        <v>16.5</v>
      </c>
      <c r="H850" s="5">
        <f t="shared" si="13"/>
        <v>49.5</v>
      </c>
    </row>
    <row r="851" customFormat="1" hidden="1" spans="1:8">
      <c r="A851" s="2">
        <v>46164</v>
      </c>
      <c r="B851" s="3">
        <v>1605481</v>
      </c>
      <c r="C851" s="3" t="s">
        <v>153</v>
      </c>
      <c r="D851" s="4">
        <v>20318389</v>
      </c>
      <c r="E851" s="3" t="s">
        <v>302</v>
      </c>
      <c r="F851" s="4">
        <v>1</v>
      </c>
      <c r="G851" s="5">
        <v>16.5</v>
      </c>
      <c r="H851" s="5">
        <f t="shared" si="13"/>
        <v>16.5</v>
      </c>
    </row>
    <row r="852" customFormat="1" hidden="1" spans="1:8">
      <c r="A852" s="2">
        <v>46164</v>
      </c>
      <c r="B852" s="3">
        <v>1605481</v>
      </c>
      <c r="C852" s="3" t="s">
        <v>153</v>
      </c>
      <c r="D852" s="4">
        <v>20318336</v>
      </c>
      <c r="E852" s="3" t="s">
        <v>303</v>
      </c>
      <c r="F852" s="4">
        <v>1</v>
      </c>
      <c r="G852" s="5">
        <v>16.5</v>
      </c>
      <c r="H852" s="5">
        <f t="shared" si="13"/>
        <v>16.5</v>
      </c>
    </row>
    <row r="853" customFormat="1" hidden="1" spans="1:8">
      <c r="A853" s="2">
        <v>46164</v>
      </c>
      <c r="B853" s="3">
        <v>1605530</v>
      </c>
      <c r="C853" s="3" t="s">
        <v>150</v>
      </c>
      <c r="D853" s="4">
        <v>20321476</v>
      </c>
      <c r="E853" s="3" t="s">
        <v>161</v>
      </c>
      <c r="F853" s="4">
        <v>1</v>
      </c>
      <c r="G853" s="5">
        <v>55</v>
      </c>
      <c r="H853" s="5">
        <f t="shared" si="13"/>
        <v>55</v>
      </c>
    </row>
    <row r="854" customFormat="1" hidden="1" spans="1:8">
      <c r="A854" s="2">
        <v>46164</v>
      </c>
      <c r="B854" s="3">
        <v>1605530</v>
      </c>
      <c r="C854" s="3" t="s">
        <v>150</v>
      </c>
      <c r="D854" s="4">
        <v>20327195</v>
      </c>
      <c r="E854" s="3" t="s">
        <v>268</v>
      </c>
      <c r="F854" s="4">
        <v>1</v>
      </c>
      <c r="G854" s="5">
        <v>44</v>
      </c>
      <c r="H854" s="5">
        <f t="shared" si="13"/>
        <v>44</v>
      </c>
    </row>
    <row r="855" customFormat="1" hidden="1" spans="1:8">
      <c r="A855" s="2">
        <v>46164</v>
      </c>
      <c r="B855" s="3">
        <v>1605549</v>
      </c>
      <c r="C855" s="3" t="s">
        <v>150</v>
      </c>
      <c r="D855" s="4">
        <v>20312982</v>
      </c>
      <c r="E855" s="3" t="s">
        <v>174</v>
      </c>
      <c r="F855" s="4">
        <v>1</v>
      </c>
      <c r="G855" s="5">
        <v>214.5</v>
      </c>
      <c r="H855" s="5">
        <f t="shared" si="13"/>
        <v>214.5</v>
      </c>
    </row>
    <row r="856" customFormat="1" hidden="1" spans="1:8">
      <c r="A856" s="2">
        <v>46164</v>
      </c>
      <c r="B856" s="3">
        <v>1605549</v>
      </c>
      <c r="C856" s="3" t="s">
        <v>150</v>
      </c>
      <c r="D856" s="4">
        <v>20312995</v>
      </c>
      <c r="E856" s="3" t="s">
        <v>236</v>
      </c>
      <c r="F856" s="4">
        <v>1</v>
      </c>
      <c r="G856" s="5">
        <v>82.5</v>
      </c>
      <c r="H856" s="5">
        <f t="shared" si="13"/>
        <v>82.5</v>
      </c>
    </row>
    <row r="857" customFormat="1" hidden="1" spans="1:8">
      <c r="A857" s="2">
        <v>46164</v>
      </c>
      <c r="B857" s="3">
        <v>1605549</v>
      </c>
      <c r="C857" s="3" t="s">
        <v>150</v>
      </c>
      <c r="D857" s="4">
        <v>20312966</v>
      </c>
      <c r="E857" s="3" t="s">
        <v>258</v>
      </c>
      <c r="F857" s="4">
        <v>3</v>
      </c>
      <c r="G857" s="5">
        <v>159.5</v>
      </c>
      <c r="H857" s="5">
        <f t="shared" si="13"/>
        <v>478.5</v>
      </c>
    </row>
    <row r="858" customFormat="1" hidden="1" spans="1:8">
      <c r="A858" s="2">
        <v>46164</v>
      </c>
      <c r="B858" s="3">
        <v>1605549</v>
      </c>
      <c r="C858" s="3" t="s">
        <v>150</v>
      </c>
      <c r="D858" s="4">
        <v>20312965</v>
      </c>
      <c r="E858" s="3" t="s">
        <v>112</v>
      </c>
      <c r="F858" s="4">
        <v>1</v>
      </c>
      <c r="G858" s="5">
        <v>137.5</v>
      </c>
      <c r="H858" s="5">
        <f t="shared" si="13"/>
        <v>137.5</v>
      </c>
    </row>
    <row r="859" customFormat="1" hidden="1" spans="1:8">
      <c r="A859" s="2">
        <v>46164</v>
      </c>
      <c r="B859" s="3">
        <v>1605549</v>
      </c>
      <c r="C859" s="3" t="s">
        <v>150</v>
      </c>
      <c r="D859" s="4">
        <v>20312968</v>
      </c>
      <c r="E859" s="3" t="s">
        <v>276</v>
      </c>
      <c r="F859" s="4">
        <v>1</v>
      </c>
      <c r="G859" s="5">
        <v>187</v>
      </c>
      <c r="H859" s="5">
        <f t="shared" si="13"/>
        <v>187</v>
      </c>
    </row>
    <row r="860" customFormat="1" hidden="1" spans="1:8">
      <c r="A860" s="2">
        <v>46164</v>
      </c>
      <c r="B860" s="3">
        <v>1605549</v>
      </c>
      <c r="C860" s="3" t="s">
        <v>150</v>
      </c>
      <c r="D860" s="4">
        <v>20312967</v>
      </c>
      <c r="E860" s="3" t="s">
        <v>289</v>
      </c>
      <c r="F860" s="4">
        <v>4</v>
      </c>
      <c r="G860" s="5">
        <v>176</v>
      </c>
      <c r="H860" s="5">
        <f t="shared" si="13"/>
        <v>704</v>
      </c>
    </row>
    <row r="861" customFormat="1" hidden="1" spans="1:8">
      <c r="A861" s="2">
        <v>46164</v>
      </c>
      <c r="B861" s="3">
        <v>1605549</v>
      </c>
      <c r="C861" s="3" t="s">
        <v>152</v>
      </c>
      <c r="D861" s="4">
        <v>20366063</v>
      </c>
      <c r="E861" s="3" t="s">
        <v>193</v>
      </c>
      <c r="F861" s="4">
        <v>1</v>
      </c>
      <c r="G861" s="5">
        <v>66</v>
      </c>
      <c r="H861" s="5">
        <f t="shared" si="13"/>
        <v>66</v>
      </c>
    </row>
    <row r="862" customFormat="1" hidden="1" spans="1:8">
      <c r="A862" s="2">
        <v>46164</v>
      </c>
      <c r="B862" s="3">
        <v>1605552</v>
      </c>
      <c r="C862" s="3" t="s">
        <v>151</v>
      </c>
      <c r="D862" s="4">
        <v>20318363</v>
      </c>
      <c r="E862" s="3" t="s">
        <v>94</v>
      </c>
      <c r="F862" s="4">
        <v>1</v>
      </c>
      <c r="G862" s="5">
        <v>8</v>
      </c>
      <c r="H862" s="5">
        <f t="shared" si="13"/>
        <v>8</v>
      </c>
    </row>
    <row r="863" customFormat="1" hidden="1" spans="1:8">
      <c r="A863" s="2">
        <v>46164</v>
      </c>
      <c r="B863" s="3">
        <v>1605571</v>
      </c>
      <c r="C863" s="3" t="s">
        <v>150</v>
      </c>
      <c r="D863" s="4">
        <v>20312968</v>
      </c>
      <c r="E863" s="3" t="s">
        <v>276</v>
      </c>
      <c r="F863" s="4">
        <v>1</v>
      </c>
      <c r="G863" s="5">
        <v>187</v>
      </c>
      <c r="H863" s="5">
        <f t="shared" si="13"/>
        <v>187</v>
      </c>
    </row>
    <row r="864" customFormat="1" hidden="1" spans="1:8">
      <c r="A864" s="2">
        <v>46164</v>
      </c>
      <c r="B864" s="3">
        <v>1605571</v>
      </c>
      <c r="C864" s="3" t="s">
        <v>151</v>
      </c>
      <c r="D864" s="4">
        <v>20398516</v>
      </c>
      <c r="E864" s="3" t="s">
        <v>184</v>
      </c>
      <c r="F864" s="4">
        <v>1</v>
      </c>
      <c r="G864" s="5">
        <v>13.5</v>
      </c>
      <c r="H864" s="5">
        <f t="shared" si="13"/>
        <v>13.5</v>
      </c>
    </row>
    <row r="865" customFormat="1" hidden="1" spans="1:8">
      <c r="A865" s="2">
        <v>46164</v>
      </c>
      <c r="B865" s="3">
        <v>1605571</v>
      </c>
      <c r="C865" s="3" t="s">
        <v>156</v>
      </c>
      <c r="D865" s="4">
        <v>20322235</v>
      </c>
      <c r="E865" s="3" t="s">
        <v>111</v>
      </c>
      <c r="F865" s="4">
        <v>29</v>
      </c>
      <c r="G865" s="5">
        <v>2.5</v>
      </c>
      <c r="H865" s="5">
        <f t="shared" si="13"/>
        <v>72.5</v>
      </c>
    </row>
    <row r="866" customFormat="1" hidden="1" spans="1:8">
      <c r="A866" s="2">
        <v>46164</v>
      </c>
      <c r="B866" s="3">
        <v>1605571</v>
      </c>
      <c r="C866" s="3" t="s">
        <v>156</v>
      </c>
      <c r="D866" s="4">
        <v>20322243</v>
      </c>
      <c r="E866" s="3" t="s">
        <v>117</v>
      </c>
      <c r="F866" s="4">
        <v>2</v>
      </c>
      <c r="G866" s="5">
        <v>30</v>
      </c>
      <c r="H866" s="5">
        <f t="shared" si="13"/>
        <v>60</v>
      </c>
    </row>
    <row r="867" customFormat="1" hidden="1" spans="1:8">
      <c r="A867" s="2">
        <v>46164</v>
      </c>
      <c r="B867" s="3">
        <v>1605571</v>
      </c>
      <c r="C867" s="3" t="s">
        <v>156</v>
      </c>
      <c r="D867" s="4">
        <v>20322234</v>
      </c>
      <c r="E867" s="3" t="s">
        <v>274</v>
      </c>
      <c r="F867" s="4">
        <v>6</v>
      </c>
      <c r="G867" s="5">
        <v>2.5</v>
      </c>
      <c r="H867" s="5">
        <f t="shared" si="13"/>
        <v>15</v>
      </c>
    </row>
    <row r="868" customFormat="1" hidden="1" spans="1:8">
      <c r="A868" s="2">
        <v>46164</v>
      </c>
      <c r="B868" s="3">
        <v>1605571</v>
      </c>
      <c r="C868" s="3" t="s">
        <v>156</v>
      </c>
      <c r="D868" s="4">
        <v>20330757</v>
      </c>
      <c r="E868" s="3" t="s">
        <v>288</v>
      </c>
      <c r="F868" s="4">
        <v>5</v>
      </c>
      <c r="G868" s="5">
        <v>35</v>
      </c>
      <c r="H868" s="5">
        <f t="shared" si="13"/>
        <v>175</v>
      </c>
    </row>
    <row r="869" customFormat="1" hidden="1" spans="1:8">
      <c r="A869" s="2">
        <v>46164</v>
      </c>
      <c r="B869" s="3">
        <v>1605571</v>
      </c>
      <c r="C869" s="3" t="s">
        <v>153</v>
      </c>
      <c r="D869" s="4">
        <v>20318334</v>
      </c>
      <c r="E869" s="3" t="s">
        <v>186</v>
      </c>
      <c r="F869" s="4">
        <v>2</v>
      </c>
      <c r="G869" s="5">
        <v>16.5</v>
      </c>
      <c r="H869" s="5">
        <f t="shared" si="13"/>
        <v>33</v>
      </c>
    </row>
    <row r="870" customFormat="1" hidden="1" spans="1:8">
      <c r="A870" s="2">
        <v>46164</v>
      </c>
      <c r="B870" s="3">
        <v>1605571</v>
      </c>
      <c r="C870" s="3" t="s">
        <v>153</v>
      </c>
      <c r="D870" s="4">
        <v>20318241</v>
      </c>
      <c r="E870" s="3" t="s">
        <v>83</v>
      </c>
      <c r="F870" s="4">
        <v>1</v>
      </c>
      <c r="G870" s="5">
        <v>16.5</v>
      </c>
      <c r="H870" s="5">
        <f t="shared" si="13"/>
        <v>16.5</v>
      </c>
    </row>
    <row r="871" customFormat="1" hidden="1" spans="1:8">
      <c r="A871" s="2">
        <v>46164</v>
      </c>
      <c r="B871" s="3">
        <v>1605571</v>
      </c>
      <c r="C871" s="3" t="s">
        <v>153</v>
      </c>
      <c r="D871" s="4">
        <v>20318378</v>
      </c>
      <c r="E871" s="3" t="s">
        <v>231</v>
      </c>
      <c r="F871" s="4">
        <v>1</v>
      </c>
      <c r="G871" s="5">
        <v>16.5</v>
      </c>
      <c r="H871" s="5">
        <f t="shared" si="13"/>
        <v>16.5</v>
      </c>
    </row>
    <row r="872" customFormat="1" hidden="1" spans="1:8">
      <c r="A872" s="2">
        <v>46164</v>
      </c>
      <c r="B872" s="3">
        <v>1605571</v>
      </c>
      <c r="C872" s="3" t="s">
        <v>153</v>
      </c>
      <c r="D872" s="4">
        <v>20318380</v>
      </c>
      <c r="E872" s="3" t="s">
        <v>232</v>
      </c>
      <c r="F872" s="4">
        <v>2</v>
      </c>
      <c r="G872" s="5">
        <v>16.5</v>
      </c>
      <c r="H872" s="5">
        <f t="shared" si="13"/>
        <v>33</v>
      </c>
    </row>
    <row r="873" customFormat="1" hidden="1" spans="1:8">
      <c r="A873" s="2">
        <v>46164</v>
      </c>
      <c r="B873" s="3">
        <v>1605571</v>
      </c>
      <c r="C873" s="3" t="s">
        <v>153</v>
      </c>
      <c r="D873" s="4">
        <v>20318340</v>
      </c>
      <c r="E873" s="3" t="s">
        <v>240</v>
      </c>
      <c r="F873" s="4">
        <v>2</v>
      </c>
      <c r="G873" s="5">
        <v>16.5</v>
      </c>
      <c r="H873" s="5">
        <f t="shared" si="13"/>
        <v>33</v>
      </c>
    </row>
    <row r="874" customFormat="1" hidden="1" spans="1:8">
      <c r="A874" s="2">
        <v>46164</v>
      </c>
      <c r="B874" s="3">
        <v>1605571</v>
      </c>
      <c r="C874" s="3" t="s">
        <v>153</v>
      </c>
      <c r="D874" s="4">
        <v>20318158</v>
      </c>
      <c r="E874" s="3" t="s">
        <v>244</v>
      </c>
      <c r="F874" s="4">
        <v>1</v>
      </c>
      <c r="G874" s="5">
        <v>16.5</v>
      </c>
      <c r="H874" s="5">
        <f t="shared" si="13"/>
        <v>16.5</v>
      </c>
    </row>
    <row r="875" customFormat="1" hidden="1" spans="1:8">
      <c r="A875" s="2">
        <v>46164</v>
      </c>
      <c r="B875" s="3">
        <v>1605571</v>
      </c>
      <c r="C875" s="3" t="s">
        <v>153</v>
      </c>
      <c r="D875" s="4">
        <v>20340289</v>
      </c>
      <c r="E875" s="3" t="s">
        <v>272</v>
      </c>
      <c r="F875" s="4">
        <v>1</v>
      </c>
      <c r="G875" s="5">
        <v>16.5</v>
      </c>
      <c r="H875" s="5">
        <f t="shared" si="13"/>
        <v>16.5</v>
      </c>
    </row>
    <row r="876" customFormat="1" hidden="1" spans="1:8">
      <c r="A876" s="2">
        <v>46164</v>
      </c>
      <c r="B876" s="3">
        <v>1605571</v>
      </c>
      <c r="C876" s="3" t="s">
        <v>153</v>
      </c>
      <c r="D876" s="4">
        <v>20318336</v>
      </c>
      <c r="E876" s="3" t="s">
        <v>303</v>
      </c>
      <c r="F876" s="4">
        <v>3</v>
      </c>
      <c r="G876" s="5">
        <v>16.5</v>
      </c>
      <c r="H876" s="5">
        <f t="shared" si="13"/>
        <v>49.5</v>
      </c>
    </row>
    <row r="877" customFormat="1" hidden="1" spans="1:8">
      <c r="A877" s="2">
        <v>46164</v>
      </c>
      <c r="B877" s="3">
        <v>1605610</v>
      </c>
      <c r="C877" s="3" t="s">
        <v>150</v>
      </c>
      <c r="D877" s="4">
        <v>20318353</v>
      </c>
      <c r="E877" s="3" t="s">
        <v>235</v>
      </c>
      <c r="F877" s="4">
        <v>1</v>
      </c>
      <c r="G877" s="5">
        <v>66</v>
      </c>
      <c r="H877" s="5">
        <f t="shared" si="13"/>
        <v>66</v>
      </c>
    </row>
    <row r="878" customFormat="1" hidden="1" spans="1:8">
      <c r="A878" s="2">
        <v>46164</v>
      </c>
      <c r="B878" s="3">
        <v>1605610</v>
      </c>
      <c r="C878" s="3" t="s">
        <v>150</v>
      </c>
      <c r="D878" s="4">
        <v>20312966</v>
      </c>
      <c r="E878" s="3" t="s">
        <v>258</v>
      </c>
      <c r="F878" s="4">
        <v>3</v>
      </c>
      <c r="G878" s="5">
        <v>159.5</v>
      </c>
      <c r="H878" s="5">
        <f t="shared" si="13"/>
        <v>478.5</v>
      </c>
    </row>
    <row r="879" customFormat="1" hidden="1" spans="1:8">
      <c r="A879" s="2">
        <v>46164</v>
      </c>
      <c r="B879" s="3">
        <v>1605610</v>
      </c>
      <c r="C879" s="3" t="s">
        <v>150</v>
      </c>
      <c r="D879" s="4">
        <v>20312965</v>
      </c>
      <c r="E879" s="3" t="s">
        <v>112</v>
      </c>
      <c r="F879" s="4">
        <v>3</v>
      </c>
      <c r="G879" s="5">
        <v>137.5</v>
      </c>
      <c r="H879" s="5">
        <f t="shared" si="13"/>
        <v>412.5</v>
      </c>
    </row>
    <row r="880" customFormat="1" hidden="1" spans="1:8">
      <c r="A880" s="2">
        <v>46164</v>
      </c>
      <c r="B880" s="3">
        <v>1605610</v>
      </c>
      <c r="C880" s="3" t="s">
        <v>150</v>
      </c>
      <c r="D880" s="4">
        <v>20312967</v>
      </c>
      <c r="E880" s="3" t="s">
        <v>289</v>
      </c>
      <c r="F880" s="4">
        <v>9</v>
      </c>
      <c r="G880" s="5">
        <v>176</v>
      </c>
      <c r="H880" s="5">
        <f t="shared" si="13"/>
        <v>1584</v>
      </c>
    </row>
    <row r="881" customFormat="1" hidden="1" spans="1:8">
      <c r="A881" s="2">
        <v>46164</v>
      </c>
      <c r="B881" s="3">
        <v>1605610</v>
      </c>
      <c r="C881" s="3" t="s">
        <v>153</v>
      </c>
      <c r="D881" s="4">
        <v>20318334</v>
      </c>
      <c r="E881" s="3" t="s">
        <v>186</v>
      </c>
      <c r="F881" s="4">
        <v>1</v>
      </c>
      <c r="G881" s="5">
        <v>16.5</v>
      </c>
      <c r="H881" s="5">
        <f t="shared" si="13"/>
        <v>16.5</v>
      </c>
    </row>
    <row r="882" customFormat="1" hidden="1" spans="1:8">
      <c r="A882" s="2">
        <v>46165</v>
      </c>
      <c r="B882" s="3">
        <v>1605819</v>
      </c>
      <c r="C882" s="3" t="s">
        <v>150</v>
      </c>
      <c r="D882" s="4">
        <v>20321719</v>
      </c>
      <c r="E882" s="3" t="s">
        <v>163</v>
      </c>
      <c r="F882" s="4">
        <v>1</v>
      </c>
      <c r="G882" s="5">
        <v>49.5</v>
      </c>
      <c r="H882" s="5">
        <f t="shared" si="13"/>
        <v>49.5</v>
      </c>
    </row>
    <row r="883" customFormat="1" hidden="1" spans="1:8">
      <c r="A883" s="2">
        <v>46165</v>
      </c>
      <c r="B883" s="3">
        <v>1605819</v>
      </c>
      <c r="C883" s="3" t="s">
        <v>150</v>
      </c>
      <c r="D883" s="4">
        <v>20312966</v>
      </c>
      <c r="E883" s="3" t="s">
        <v>258</v>
      </c>
      <c r="F883" s="4">
        <v>9</v>
      </c>
      <c r="G883" s="5">
        <v>159.5</v>
      </c>
      <c r="H883" s="5">
        <f t="shared" si="13"/>
        <v>1435.5</v>
      </c>
    </row>
    <row r="884" customFormat="1" hidden="1" spans="1:8">
      <c r="A884" s="10">
        <v>46165</v>
      </c>
      <c r="B884" s="11">
        <v>1605819</v>
      </c>
      <c r="C884" s="11" t="s">
        <v>150</v>
      </c>
      <c r="D884" s="12">
        <v>20334934</v>
      </c>
      <c r="E884" s="11" t="s">
        <v>262</v>
      </c>
      <c r="F884" s="12">
        <v>1</v>
      </c>
      <c r="G884" s="13">
        <v>121</v>
      </c>
      <c r="H884" s="13">
        <f t="shared" si="13"/>
        <v>121</v>
      </c>
    </row>
    <row r="885" customFormat="1" hidden="1" spans="1:8">
      <c r="A885" s="2">
        <v>46165</v>
      </c>
      <c r="B885" s="3">
        <v>1605819</v>
      </c>
      <c r="C885" s="3" t="s">
        <v>150</v>
      </c>
      <c r="D885" s="4">
        <v>20327194</v>
      </c>
      <c r="E885" s="3" t="s">
        <v>265</v>
      </c>
      <c r="F885" s="4">
        <v>1</v>
      </c>
      <c r="G885" s="5">
        <v>27.5</v>
      </c>
      <c r="H885" s="5">
        <f t="shared" si="13"/>
        <v>27.5</v>
      </c>
    </row>
    <row r="886" customFormat="1" hidden="1" spans="1:8">
      <c r="A886" s="2">
        <v>46165</v>
      </c>
      <c r="B886" s="3">
        <v>1605819</v>
      </c>
      <c r="C886" s="3" t="s">
        <v>150</v>
      </c>
      <c r="D886" s="4">
        <v>20312965</v>
      </c>
      <c r="E886" s="3" t="s">
        <v>112</v>
      </c>
      <c r="F886" s="4">
        <v>1</v>
      </c>
      <c r="G886" s="5">
        <v>137.5</v>
      </c>
      <c r="H886" s="5">
        <f t="shared" si="13"/>
        <v>137.5</v>
      </c>
    </row>
    <row r="887" customFormat="1" hidden="1" spans="1:8">
      <c r="A887" s="2">
        <v>46165</v>
      </c>
      <c r="B887" s="3">
        <v>1605819</v>
      </c>
      <c r="C887" s="3" t="s">
        <v>151</v>
      </c>
      <c r="D887" s="4">
        <v>20354360</v>
      </c>
      <c r="E887" s="3" t="s">
        <v>177</v>
      </c>
      <c r="F887" s="4">
        <v>1</v>
      </c>
      <c r="G887" s="5">
        <v>13.5</v>
      </c>
      <c r="H887" s="5">
        <f t="shared" si="13"/>
        <v>13.5</v>
      </c>
    </row>
    <row r="888" customFormat="1" hidden="1" spans="1:8">
      <c r="A888" s="2">
        <v>46165</v>
      </c>
      <c r="B888" s="3">
        <v>1605819</v>
      </c>
      <c r="C888" s="3" t="s">
        <v>151</v>
      </c>
      <c r="D888" s="4">
        <v>20318395</v>
      </c>
      <c r="E888" s="3" t="s">
        <v>309</v>
      </c>
      <c r="F888" s="4">
        <v>1</v>
      </c>
      <c r="G888" s="5">
        <v>16.5</v>
      </c>
      <c r="H888" s="5">
        <f t="shared" si="13"/>
        <v>16.5</v>
      </c>
    </row>
    <row r="889" customFormat="1" hidden="1" spans="1:8">
      <c r="A889" s="2">
        <v>46165</v>
      </c>
      <c r="B889" s="3">
        <v>1605819</v>
      </c>
      <c r="C889" s="3" t="s">
        <v>152</v>
      </c>
      <c r="D889" s="4">
        <v>20340286</v>
      </c>
      <c r="E889" s="3" t="s">
        <v>169</v>
      </c>
      <c r="F889" s="4">
        <v>1</v>
      </c>
      <c r="G889" s="5">
        <v>55</v>
      </c>
      <c r="H889" s="5">
        <f t="shared" si="13"/>
        <v>55</v>
      </c>
    </row>
    <row r="890" customFormat="1" hidden="1" spans="1:8">
      <c r="A890" s="2">
        <v>46165</v>
      </c>
      <c r="B890" s="3">
        <v>1605819</v>
      </c>
      <c r="C890" s="3" t="s">
        <v>153</v>
      </c>
      <c r="D890" s="4">
        <v>20321257</v>
      </c>
      <c r="E890" s="3" t="s">
        <v>68</v>
      </c>
      <c r="F890" s="4">
        <v>4</v>
      </c>
      <c r="G890" s="5">
        <v>16.5</v>
      </c>
      <c r="H890" s="5">
        <f t="shared" si="13"/>
        <v>66</v>
      </c>
    </row>
    <row r="891" customFormat="1" hidden="1" spans="1:8">
      <c r="A891" s="2">
        <v>46165</v>
      </c>
      <c r="B891" s="3">
        <v>1605819</v>
      </c>
      <c r="C891" s="3" t="s">
        <v>153</v>
      </c>
      <c r="D891" s="4">
        <v>20318361</v>
      </c>
      <c r="E891" s="3" t="s">
        <v>185</v>
      </c>
      <c r="F891" s="4">
        <v>1</v>
      </c>
      <c r="G891" s="5">
        <v>16.5</v>
      </c>
      <c r="H891" s="5">
        <f t="shared" si="13"/>
        <v>16.5</v>
      </c>
    </row>
    <row r="892" customFormat="1" hidden="1" spans="1:8">
      <c r="A892" s="2">
        <v>46165</v>
      </c>
      <c r="B892" s="3">
        <v>1605819</v>
      </c>
      <c r="C892" s="3" t="s">
        <v>153</v>
      </c>
      <c r="D892" s="4">
        <v>20318334</v>
      </c>
      <c r="E892" s="3" t="s">
        <v>186</v>
      </c>
      <c r="F892" s="4">
        <v>1</v>
      </c>
      <c r="G892" s="5">
        <v>16.5</v>
      </c>
      <c r="H892" s="5">
        <f t="shared" si="13"/>
        <v>16.5</v>
      </c>
    </row>
    <row r="893" customFormat="1" hidden="1" spans="1:8">
      <c r="A893" s="2">
        <v>46165</v>
      </c>
      <c r="B893" s="3">
        <v>1605819</v>
      </c>
      <c r="C893" s="3" t="s">
        <v>153</v>
      </c>
      <c r="D893" s="4">
        <v>20014824</v>
      </c>
      <c r="E893" s="3" t="s">
        <v>85</v>
      </c>
      <c r="F893" s="4">
        <v>1</v>
      </c>
      <c r="G893" s="5">
        <v>16.5</v>
      </c>
      <c r="H893" s="5">
        <f t="shared" si="13"/>
        <v>16.5</v>
      </c>
    </row>
    <row r="894" customFormat="1" hidden="1" spans="1:8">
      <c r="A894" s="2">
        <v>46165</v>
      </c>
      <c r="B894" s="3">
        <v>1605819</v>
      </c>
      <c r="C894" s="3" t="s">
        <v>153</v>
      </c>
      <c r="D894" s="4">
        <v>20318378</v>
      </c>
      <c r="E894" s="3" t="s">
        <v>231</v>
      </c>
      <c r="F894" s="4">
        <v>1</v>
      </c>
      <c r="G894" s="5">
        <v>16.5</v>
      </c>
      <c r="H894" s="5">
        <f t="shared" si="13"/>
        <v>16.5</v>
      </c>
    </row>
    <row r="895" customFormat="1" hidden="1" spans="1:8">
      <c r="A895" s="2">
        <v>46165</v>
      </c>
      <c r="B895" s="3">
        <v>1605819</v>
      </c>
      <c r="C895" s="3" t="s">
        <v>153</v>
      </c>
      <c r="D895" s="4">
        <v>20340289</v>
      </c>
      <c r="E895" s="3" t="s">
        <v>272</v>
      </c>
      <c r="F895" s="4">
        <v>2</v>
      </c>
      <c r="G895" s="5">
        <v>16.5</v>
      </c>
      <c r="H895" s="5">
        <f t="shared" si="13"/>
        <v>33</v>
      </c>
    </row>
    <row r="896" customFormat="1" hidden="1" spans="1:8">
      <c r="A896" s="2">
        <v>46165</v>
      </c>
      <c r="B896" s="3">
        <v>1605819</v>
      </c>
      <c r="C896" s="3" t="s">
        <v>153</v>
      </c>
      <c r="D896" s="4">
        <v>20383164</v>
      </c>
      <c r="E896" s="3" t="s">
        <v>273</v>
      </c>
      <c r="F896" s="4">
        <v>1</v>
      </c>
      <c r="G896" s="5">
        <v>22</v>
      </c>
      <c r="H896" s="5">
        <f t="shared" si="13"/>
        <v>22</v>
      </c>
    </row>
    <row r="897" customFormat="1" hidden="1" spans="1:8">
      <c r="A897" s="2">
        <v>46165</v>
      </c>
      <c r="B897" s="3">
        <v>1605819</v>
      </c>
      <c r="C897" s="3" t="s">
        <v>153</v>
      </c>
      <c r="D897" s="4">
        <v>20407575</v>
      </c>
      <c r="E897" s="3" t="s">
        <v>284</v>
      </c>
      <c r="F897" s="4">
        <v>1</v>
      </c>
      <c r="G897" s="5">
        <v>16.5</v>
      </c>
      <c r="H897" s="5">
        <f t="shared" si="13"/>
        <v>16.5</v>
      </c>
    </row>
    <row r="898" customFormat="1" hidden="1" spans="1:8">
      <c r="A898" s="2">
        <v>46165</v>
      </c>
      <c r="B898" s="3">
        <v>1605824</v>
      </c>
      <c r="C898" s="3" t="s">
        <v>150</v>
      </c>
      <c r="D898" s="4">
        <v>20321252</v>
      </c>
      <c r="E898" s="3" t="s">
        <v>162</v>
      </c>
      <c r="F898" s="4">
        <v>1</v>
      </c>
      <c r="G898" s="5">
        <v>49.5</v>
      </c>
      <c r="H898" s="5">
        <f t="shared" ref="H898:H961" si="14">G898*F898</f>
        <v>49.5</v>
      </c>
    </row>
    <row r="899" customFormat="1" hidden="1" spans="1:8">
      <c r="A899" s="2">
        <v>46165</v>
      </c>
      <c r="B899" s="3">
        <v>1605824</v>
      </c>
      <c r="C899" s="3" t="s">
        <v>150</v>
      </c>
      <c r="D899" s="4">
        <v>20331447</v>
      </c>
      <c r="E899" s="3" t="s">
        <v>243</v>
      </c>
      <c r="F899" s="4">
        <v>1</v>
      </c>
      <c r="G899" s="5">
        <v>264</v>
      </c>
      <c r="H899" s="5">
        <f t="shared" si="14"/>
        <v>264</v>
      </c>
    </row>
    <row r="900" customFormat="1" hidden="1" spans="1:8">
      <c r="A900" s="2">
        <v>46165</v>
      </c>
      <c r="B900" s="3">
        <v>1605824</v>
      </c>
      <c r="C900" s="3" t="s">
        <v>150</v>
      </c>
      <c r="D900" s="4">
        <v>20312966</v>
      </c>
      <c r="E900" s="3" t="s">
        <v>258</v>
      </c>
      <c r="F900" s="4">
        <v>1</v>
      </c>
      <c r="G900" s="5">
        <v>159.5</v>
      </c>
      <c r="H900" s="5">
        <f t="shared" si="14"/>
        <v>159.5</v>
      </c>
    </row>
    <row r="901" customFormat="1" hidden="1" spans="1:8">
      <c r="A901" s="2">
        <v>46165</v>
      </c>
      <c r="B901" s="3">
        <v>1605824</v>
      </c>
      <c r="C901" s="3" t="s">
        <v>150</v>
      </c>
      <c r="D901" s="4">
        <v>20312965</v>
      </c>
      <c r="E901" s="3" t="s">
        <v>112</v>
      </c>
      <c r="F901" s="4">
        <v>2</v>
      </c>
      <c r="G901" s="5">
        <v>137.5</v>
      </c>
      <c r="H901" s="5">
        <f t="shared" si="14"/>
        <v>275</v>
      </c>
    </row>
    <row r="902" customFormat="1" hidden="1" spans="1:8">
      <c r="A902" s="2">
        <v>46165</v>
      </c>
      <c r="B902" s="3">
        <v>1605824</v>
      </c>
      <c r="C902" s="3" t="s">
        <v>150</v>
      </c>
      <c r="D902" s="4">
        <v>20312967</v>
      </c>
      <c r="E902" s="3" t="s">
        <v>289</v>
      </c>
      <c r="F902" s="4">
        <v>10</v>
      </c>
      <c r="G902" s="5">
        <v>176</v>
      </c>
      <c r="H902" s="5">
        <f t="shared" si="14"/>
        <v>1760</v>
      </c>
    </row>
    <row r="903" customFormat="1" hidden="1" spans="1:8">
      <c r="A903" s="2">
        <v>46165</v>
      </c>
      <c r="B903" s="3">
        <v>1605824</v>
      </c>
      <c r="C903" s="3" t="s">
        <v>156</v>
      </c>
      <c r="D903" s="4">
        <v>20322243</v>
      </c>
      <c r="E903" s="3" t="s">
        <v>117</v>
      </c>
      <c r="F903" s="4">
        <v>1</v>
      </c>
      <c r="G903" s="5">
        <v>30</v>
      </c>
      <c r="H903" s="5">
        <f t="shared" si="14"/>
        <v>30</v>
      </c>
    </row>
    <row r="904" customFormat="1" hidden="1" spans="1:8">
      <c r="A904" s="2">
        <v>46165</v>
      </c>
      <c r="B904" s="3">
        <v>1605824</v>
      </c>
      <c r="C904" s="3" t="s">
        <v>156</v>
      </c>
      <c r="D904" s="4">
        <v>20322304</v>
      </c>
      <c r="E904" s="3" t="s">
        <v>275</v>
      </c>
      <c r="F904" s="4">
        <v>8</v>
      </c>
      <c r="G904" s="5">
        <v>25</v>
      </c>
      <c r="H904" s="5">
        <f t="shared" si="14"/>
        <v>200</v>
      </c>
    </row>
    <row r="905" customFormat="1" hidden="1" spans="1:8">
      <c r="A905" s="2">
        <v>46165</v>
      </c>
      <c r="B905" s="3">
        <v>1605824</v>
      </c>
      <c r="C905" s="3" t="s">
        <v>156</v>
      </c>
      <c r="D905" s="4">
        <v>20330757</v>
      </c>
      <c r="E905" s="3" t="s">
        <v>288</v>
      </c>
      <c r="F905" s="4">
        <v>1</v>
      </c>
      <c r="G905" s="5">
        <v>35</v>
      </c>
      <c r="H905" s="5">
        <f t="shared" si="14"/>
        <v>35</v>
      </c>
    </row>
    <row r="906" customFormat="1" ht="25.5" hidden="1" spans="1:8">
      <c r="A906" s="2">
        <v>46165</v>
      </c>
      <c r="B906" s="3">
        <v>1605824</v>
      </c>
      <c r="C906" s="3" t="s">
        <v>152</v>
      </c>
      <c r="D906" s="4">
        <v>20395243</v>
      </c>
      <c r="E906" s="3" t="s">
        <v>212</v>
      </c>
      <c r="F906" s="4">
        <v>1</v>
      </c>
      <c r="G906" s="5">
        <v>357.5</v>
      </c>
      <c r="H906" s="5">
        <f t="shared" si="14"/>
        <v>357.5</v>
      </c>
    </row>
    <row r="907" customFormat="1" hidden="1" spans="1:8">
      <c r="A907" s="2">
        <v>46165</v>
      </c>
      <c r="B907" s="3">
        <v>1605824</v>
      </c>
      <c r="C907" s="3" t="s">
        <v>153</v>
      </c>
      <c r="D907" s="4">
        <v>20321257</v>
      </c>
      <c r="E907" s="3" t="s">
        <v>68</v>
      </c>
      <c r="F907" s="4">
        <v>6</v>
      </c>
      <c r="G907" s="5">
        <v>16.5</v>
      </c>
      <c r="H907" s="5">
        <f t="shared" si="14"/>
        <v>99</v>
      </c>
    </row>
    <row r="908" customFormat="1" hidden="1" spans="1:8">
      <c r="A908" s="2">
        <v>46165</v>
      </c>
      <c r="B908" s="3">
        <v>1605824</v>
      </c>
      <c r="C908" s="3" t="s">
        <v>153</v>
      </c>
      <c r="D908" s="4">
        <v>20318361</v>
      </c>
      <c r="E908" s="3" t="s">
        <v>185</v>
      </c>
      <c r="F908" s="4">
        <v>1</v>
      </c>
      <c r="G908" s="5">
        <v>16.5</v>
      </c>
      <c r="H908" s="5">
        <f t="shared" si="14"/>
        <v>16.5</v>
      </c>
    </row>
    <row r="909" customFormat="1" hidden="1" spans="1:8">
      <c r="A909" s="2">
        <v>46165</v>
      </c>
      <c r="B909" s="3">
        <v>1605824</v>
      </c>
      <c r="C909" s="3" t="s">
        <v>153</v>
      </c>
      <c r="D909" s="4">
        <v>20318375</v>
      </c>
      <c r="E909" s="3" t="s">
        <v>81</v>
      </c>
      <c r="F909" s="4">
        <v>1</v>
      </c>
      <c r="G909" s="5">
        <v>16.5</v>
      </c>
      <c r="H909" s="5">
        <f t="shared" si="14"/>
        <v>16.5</v>
      </c>
    </row>
    <row r="910" customFormat="1" hidden="1" spans="1:8">
      <c r="A910" s="2">
        <v>46165</v>
      </c>
      <c r="B910" s="3">
        <v>1605824</v>
      </c>
      <c r="C910" s="3" t="s">
        <v>153</v>
      </c>
      <c r="D910" s="4">
        <v>20321250</v>
      </c>
      <c r="E910" s="3" t="s">
        <v>259</v>
      </c>
      <c r="F910" s="4">
        <v>1</v>
      </c>
      <c r="G910" s="5">
        <v>16.5</v>
      </c>
      <c r="H910" s="5">
        <f t="shared" si="14"/>
        <v>16.5</v>
      </c>
    </row>
    <row r="911" customFormat="1" hidden="1" spans="1:8">
      <c r="A911" s="2">
        <v>46165</v>
      </c>
      <c r="B911" s="3">
        <v>1605824</v>
      </c>
      <c r="C911" s="3" t="s">
        <v>153</v>
      </c>
      <c r="D911" s="4">
        <v>20340289</v>
      </c>
      <c r="E911" s="3" t="s">
        <v>272</v>
      </c>
      <c r="F911" s="4">
        <v>1</v>
      </c>
      <c r="G911" s="5">
        <v>16.5</v>
      </c>
      <c r="H911" s="5">
        <f t="shared" si="14"/>
        <v>16.5</v>
      </c>
    </row>
    <row r="912" customFormat="1" hidden="1" spans="1:8">
      <c r="A912" s="2">
        <v>46165</v>
      </c>
      <c r="B912" s="3">
        <v>1605824</v>
      </c>
      <c r="C912" s="3" t="s">
        <v>153</v>
      </c>
      <c r="D912" s="4">
        <v>20318379</v>
      </c>
      <c r="E912" s="3" t="s">
        <v>127</v>
      </c>
      <c r="F912" s="4">
        <v>1</v>
      </c>
      <c r="G912" s="5">
        <v>16.5</v>
      </c>
      <c r="H912" s="5">
        <f t="shared" si="14"/>
        <v>16.5</v>
      </c>
    </row>
    <row r="913" customFormat="1" hidden="1" spans="1:8">
      <c r="A913" s="2">
        <v>46165</v>
      </c>
      <c r="B913" s="3">
        <v>1605824</v>
      </c>
      <c r="C913" s="3" t="s">
        <v>153</v>
      </c>
      <c r="D913" s="4">
        <v>20318336</v>
      </c>
      <c r="E913" s="3" t="s">
        <v>303</v>
      </c>
      <c r="F913" s="4">
        <v>1</v>
      </c>
      <c r="G913" s="5">
        <v>16.5</v>
      </c>
      <c r="H913" s="5">
        <f t="shared" si="14"/>
        <v>16.5</v>
      </c>
    </row>
    <row r="914" customFormat="1" hidden="1" spans="1:8">
      <c r="A914" s="2">
        <v>46165</v>
      </c>
      <c r="B914" s="3">
        <v>1605835</v>
      </c>
      <c r="C914" s="3" t="s">
        <v>150</v>
      </c>
      <c r="D914" s="4">
        <v>20321686</v>
      </c>
      <c r="E914" s="3" t="s">
        <v>227</v>
      </c>
      <c r="F914" s="4">
        <v>1</v>
      </c>
      <c r="G914" s="5">
        <v>38.5</v>
      </c>
      <c r="H914" s="5">
        <f t="shared" si="14"/>
        <v>38.5</v>
      </c>
    </row>
    <row r="915" customFormat="1" hidden="1" spans="1:8">
      <c r="A915" s="2">
        <v>46165</v>
      </c>
      <c r="B915" s="3">
        <v>1605835</v>
      </c>
      <c r="C915" s="3" t="s">
        <v>150</v>
      </c>
      <c r="D915" s="4">
        <v>20312967</v>
      </c>
      <c r="E915" s="3" t="s">
        <v>289</v>
      </c>
      <c r="F915" s="4">
        <v>5</v>
      </c>
      <c r="G915" s="5">
        <v>176</v>
      </c>
      <c r="H915" s="5">
        <f t="shared" si="14"/>
        <v>880</v>
      </c>
    </row>
    <row r="916" customFormat="1" hidden="1" spans="1:8">
      <c r="A916" s="2">
        <v>46165</v>
      </c>
      <c r="B916" s="3">
        <v>1605835</v>
      </c>
      <c r="C916" s="3" t="s">
        <v>150</v>
      </c>
      <c r="D916" s="4">
        <v>20392364</v>
      </c>
      <c r="E916" s="3" t="s">
        <v>296</v>
      </c>
      <c r="F916" s="4">
        <v>1</v>
      </c>
      <c r="G916" s="5">
        <v>137.5</v>
      </c>
      <c r="H916" s="5">
        <f t="shared" si="14"/>
        <v>137.5</v>
      </c>
    </row>
    <row r="917" customFormat="1" hidden="1" spans="1:8">
      <c r="A917" s="2">
        <v>46165</v>
      </c>
      <c r="B917" s="3">
        <v>1605835</v>
      </c>
      <c r="C917" s="3" t="s">
        <v>150</v>
      </c>
      <c r="D917" s="4">
        <v>20424417</v>
      </c>
      <c r="E917" s="3" t="s">
        <v>312</v>
      </c>
      <c r="F917" s="4">
        <v>2</v>
      </c>
      <c r="G917" s="5">
        <v>66</v>
      </c>
      <c r="H917" s="5">
        <f t="shared" si="14"/>
        <v>132</v>
      </c>
    </row>
    <row r="918" customFormat="1" hidden="1" spans="1:8">
      <c r="A918" s="2">
        <v>46165</v>
      </c>
      <c r="B918" s="3">
        <v>1605835</v>
      </c>
      <c r="C918" s="3" t="s">
        <v>153</v>
      </c>
      <c r="D918" s="4">
        <v>20321257</v>
      </c>
      <c r="E918" s="3" t="s">
        <v>68</v>
      </c>
      <c r="F918" s="4">
        <v>4</v>
      </c>
      <c r="G918" s="5">
        <v>16.5</v>
      </c>
      <c r="H918" s="5">
        <f t="shared" si="14"/>
        <v>66</v>
      </c>
    </row>
    <row r="919" customFormat="1" hidden="1" spans="1:8">
      <c r="A919" s="2">
        <v>46165</v>
      </c>
      <c r="B919" s="3">
        <v>1605835</v>
      </c>
      <c r="C919" s="3" t="s">
        <v>153</v>
      </c>
      <c r="D919" s="4">
        <v>20343399</v>
      </c>
      <c r="E919" s="3" t="s">
        <v>228</v>
      </c>
      <c r="F919" s="4">
        <v>1</v>
      </c>
      <c r="G919" s="5">
        <v>33</v>
      </c>
      <c r="H919" s="5">
        <f t="shared" si="14"/>
        <v>33</v>
      </c>
    </row>
    <row r="920" customFormat="1" hidden="1" spans="1:8">
      <c r="A920" s="2">
        <v>46165</v>
      </c>
      <c r="B920" s="3">
        <v>1605835</v>
      </c>
      <c r="C920" s="3" t="s">
        <v>153</v>
      </c>
      <c r="D920" s="4">
        <v>20318379</v>
      </c>
      <c r="E920" s="3" t="s">
        <v>127</v>
      </c>
      <c r="F920" s="4">
        <v>1</v>
      </c>
      <c r="G920" s="5">
        <v>16.5</v>
      </c>
      <c r="H920" s="5">
        <f t="shared" si="14"/>
        <v>16.5</v>
      </c>
    </row>
    <row r="921" customFormat="1" hidden="1" spans="1:8">
      <c r="A921" s="2">
        <v>46165</v>
      </c>
      <c r="B921" s="3">
        <v>1605835</v>
      </c>
      <c r="C921" s="3" t="s">
        <v>153</v>
      </c>
      <c r="D921" s="4">
        <v>20318336</v>
      </c>
      <c r="E921" s="3" t="s">
        <v>303</v>
      </c>
      <c r="F921" s="4">
        <v>1</v>
      </c>
      <c r="G921" s="5">
        <v>16.5</v>
      </c>
      <c r="H921" s="5">
        <f t="shared" si="14"/>
        <v>16.5</v>
      </c>
    </row>
    <row r="922" customFormat="1" hidden="1" spans="1:8">
      <c r="A922" s="2">
        <v>46166</v>
      </c>
      <c r="B922" s="3">
        <v>1605929</v>
      </c>
      <c r="C922" s="3" t="s">
        <v>150</v>
      </c>
      <c r="D922" s="4">
        <v>20312966</v>
      </c>
      <c r="E922" s="3" t="s">
        <v>258</v>
      </c>
      <c r="F922" s="4">
        <v>3</v>
      </c>
      <c r="G922" s="5">
        <v>159.5</v>
      </c>
      <c r="H922" s="5">
        <f t="shared" si="14"/>
        <v>478.5</v>
      </c>
    </row>
    <row r="923" customFormat="1" hidden="1" spans="1:8">
      <c r="A923" s="2">
        <v>46166</v>
      </c>
      <c r="B923" s="3">
        <v>1605929</v>
      </c>
      <c r="C923" s="3" t="s">
        <v>156</v>
      </c>
      <c r="D923" s="4">
        <v>20322235</v>
      </c>
      <c r="E923" s="3" t="s">
        <v>111</v>
      </c>
      <c r="F923" s="4">
        <v>1</v>
      </c>
      <c r="G923" s="5">
        <v>2.5</v>
      </c>
      <c r="H923" s="5">
        <f t="shared" si="14"/>
        <v>2.5</v>
      </c>
    </row>
    <row r="924" customFormat="1" hidden="1" spans="1:8">
      <c r="A924" s="2">
        <v>46166</v>
      </c>
      <c r="B924" s="3">
        <v>1605929</v>
      </c>
      <c r="C924" s="3" t="s">
        <v>156</v>
      </c>
      <c r="D924" s="4">
        <v>20330757</v>
      </c>
      <c r="E924" s="3" t="s">
        <v>288</v>
      </c>
      <c r="F924" s="4">
        <v>5</v>
      </c>
      <c r="G924" s="5">
        <v>35</v>
      </c>
      <c r="H924" s="5">
        <f t="shared" si="14"/>
        <v>175</v>
      </c>
    </row>
    <row r="925" customFormat="1" hidden="1" spans="1:8">
      <c r="A925" s="2">
        <v>46166</v>
      </c>
      <c r="B925" s="3">
        <v>1605929</v>
      </c>
      <c r="C925" s="3" t="s">
        <v>153</v>
      </c>
      <c r="D925" s="4">
        <v>20321257</v>
      </c>
      <c r="E925" s="3" t="s">
        <v>68</v>
      </c>
      <c r="F925" s="4">
        <v>1</v>
      </c>
      <c r="G925" s="5">
        <v>16.5</v>
      </c>
      <c r="H925" s="5">
        <f t="shared" si="14"/>
        <v>16.5</v>
      </c>
    </row>
    <row r="926" customFormat="1" hidden="1" spans="1:8">
      <c r="A926" s="2">
        <v>46166</v>
      </c>
      <c r="B926" s="3">
        <v>1605929</v>
      </c>
      <c r="C926" s="3" t="s">
        <v>153</v>
      </c>
      <c r="D926" s="4">
        <v>20318380</v>
      </c>
      <c r="E926" s="3" t="s">
        <v>232</v>
      </c>
      <c r="F926" s="4">
        <v>1</v>
      </c>
      <c r="G926" s="5">
        <v>16.5</v>
      </c>
      <c r="H926" s="5">
        <f t="shared" si="14"/>
        <v>16.5</v>
      </c>
    </row>
    <row r="927" customFormat="1" hidden="1" spans="1:8">
      <c r="A927" s="2">
        <v>46166</v>
      </c>
      <c r="B927" s="3">
        <v>1605929</v>
      </c>
      <c r="C927" s="3" t="s">
        <v>153</v>
      </c>
      <c r="D927" s="4">
        <v>20318340</v>
      </c>
      <c r="E927" s="3" t="s">
        <v>240</v>
      </c>
      <c r="F927" s="4">
        <v>1</v>
      </c>
      <c r="G927" s="5">
        <v>16.5</v>
      </c>
      <c r="H927" s="5">
        <f t="shared" si="14"/>
        <v>16.5</v>
      </c>
    </row>
    <row r="928" customFormat="1" hidden="1" spans="1:8">
      <c r="A928" s="2">
        <v>46166</v>
      </c>
      <c r="B928" s="3">
        <v>1605929</v>
      </c>
      <c r="C928" s="3" t="s">
        <v>153</v>
      </c>
      <c r="D928" s="4">
        <v>20321250</v>
      </c>
      <c r="E928" s="3" t="s">
        <v>259</v>
      </c>
      <c r="F928" s="4">
        <v>1</v>
      </c>
      <c r="G928" s="5">
        <v>16.5</v>
      </c>
      <c r="H928" s="5">
        <f t="shared" si="14"/>
        <v>16.5</v>
      </c>
    </row>
    <row r="929" customFormat="1" hidden="1" spans="1:8">
      <c r="A929" s="2">
        <v>46167</v>
      </c>
      <c r="B929" s="3">
        <v>1605990</v>
      </c>
      <c r="C929" s="3" t="s">
        <v>156</v>
      </c>
      <c r="D929" s="4">
        <v>20322304</v>
      </c>
      <c r="E929" s="3" t="s">
        <v>275</v>
      </c>
      <c r="F929" s="4">
        <v>7</v>
      </c>
      <c r="G929" s="5">
        <v>25</v>
      </c>
      <c r="H929" s="5">
        <f t="shared" si="14"/>
        <v>175</v>
      </c>
    </row>
    <row r="930" customFormat="1" hidden="1" spans="1:8">
      <c r="A930" s="2">
        <v>46167</v>
      </c>
      <c r="B930" s="3">
        <v>1606026</v>
      </c>
      <c r="C930" s="3" t="s">
        <v>150</v>
      </c>
      <c r="D930" s="4">
        <v>20321719</v>
      </c>
      <c r="E930" s="3" t="s">
        <v>163</v>
      </c>
      <c r="F930" s="4">
        <v>1</v>
      </c>
      <c r="G930" s="5">
        <v>49.5</v>
      </c>
      <c r="H930" s="5">
        <f t="shared" si="14"/>
        <v>49.5</v>
      </c>
    </row>
    <row r="931" customFormat="1" hidden="1" spans="1:8">
      <c r="A931" s="2">
        <v>46167</v>
      </c>
      <c r="B931" s="3">
        <v>1606026</v>
      </c>
      <c r="C931" s="3" t="s">
        <v>150</v>
      </c>
      <c r="D931" s="4">
        <v>20312966</v>
      </c>
      <c r="E931" s="3" t="s">
        <v>258</v>
      </c>
      <c r="F931" s="4">
        <v>4</v>
      </c>
      <c r="G931" s="5">
        <v>159.5</v>
      </c>
      <c r="H931" s="5">
        <f t="shared" si="14"/>
        <v>638</v>
      </c>
    </row>
    <row r="932" customFormat="1" hidden="1" spans="1:8">
      <c r="A932" s="2">
        <v>46167</v>
      </c>
      <c r="B932" s="3">
        <v>1606026</v>
      </c>
      <c r="C932" s="3" t="s">
        <v>151</v>
      </c>
      <c r="D932" s="4">
        <v>20318363</v>
      </c>
      <c r="E932" s="3" t="s">
        <v>94</v>
      </c>
      <c r="F932" s="4">
        <v>1</v>
      </c>
      <c r="G932" s="5">
        <v>8</v>
      </c>
      <c r="H932" s="5">
        <f t="shared" si="14"/>
        <v>8</v>
      </c>
    </row>
    <row r="933" customFormat="1" hidden="1" spans="1:8">
      <c r="A933" s="2">
        <v>46167</v>
      </c>
      <c r="B933" s="3">
        <v>1606026</v>
      </c>
      <c r="C933" s="3" t="s">
        <v>156</v>
      </c>
      <c r="D933" s="4">
        <v>20322235</v>
      </c>
      <c r="E933" s="3" t="s">
        <v>111</v>
      </c>
      <c r="F933" s="4">
        <v>1</v>
      </c>
      <c r="G933" s="5">
        <v>2.5</v>
      </c>
      <c r="H933" s="5">
        <f t="shared" si="14"/>
        <v>2.5</v>
      </c>
    </row>
    <row r="934" customFormat="1" hidden="1" spans="1:8">
      <c r="A934" s="2">
        <v>46167</v>
      </c>
      <c r="B934" s="3">
        <v>1606026</v>
      </c>
      <c r="C934" s="3" t="s">
        <v>156</v>
      </c>
      <c r="D934" s="4">
        <v>20330757</v>
      </c>
      <c r="E934" s="3" t="s">
        <v>288</v>
      </c>
      <c r="F934" s="4">
        <v>2</v>
      </c>
      <c r="G934" s="5">
        <v>35</v>
      </c>
      <c r="H934" s="5">
        <f t="shared" si="14"/>
        <v>70</v>
      </c>
    </row>
    <row r="935" customFormat="1" hidden="1" spans="1:8">
      <c r="A935" s="2">
        <v>46167</v>
      </c>
      <c r="B935" s="3">
        <v>1606026</v>
      </c>
      <c r="C935" s="3" t="s">
        <v>153</v>
      </c>
      <c r="D935" s="4">
        <v>20321257</v>
      </c>
      <c r="E935" s="3" t="s">
        <v>68</v>
      </c>
      <c r="F935" s="4">
        <v>1</v>
      </c>
      <c r="G935" s="5">
        <v>16.5</v>
      </c>
      <c r="H935" s="5">
        <f t="shared" si="14"/>
        <v>16.5</v>
      </c>
    </row>
    <row r="936" customFormat="1" hidden="1" spans="1:8">
      <c r="A936" s="2">
        <v>46167</v>
      </c>
      <c r="B936" s="3">
        <v>1606026</v>
      </c>
      <c r="C936" s="3" t="s">
        <v>153</v>
      </c>
      <c r="D936" s="4">
        <v>20318334</v>
      </c>
      <c r="E936" s="3" t="s">
        <v>186</v>
      </c>
      <c r="F936" s="4">
        <v>1</v>
      </c>
      <c r="G936" s="5">
        <v>16.5</v>
      </c>
      <c r="H936" s="5">
        <f t="shared" si="14"/>
        <v>16.5</v>
      </c>
    </row>
    <row r="937" customFormat="1" hidden="1" spans="1:8">
      <c r="A937" s="2">
        <v>46167</v>
      </c>
      <c r="B937" s="3">
        <v>1606026</v>
      </c>
      <c r="C937" s="3" t="s">
        <v>153</v>
      </c>
      <c r="D937" s="4">
        <v>20318378</v>
      </c>
      <c r="E937" s="3" t="s">
        <v>231</v>
      </c>
      <c r="F937" s="4">
        <v>1</v>
      </c>
      <c r="G937" s="5">
        <v>16.5</v>
      </c>
      <c r="H937" s="5">
        <f t="shared" si="14"/>
        <v>16.5</v>
      </c>
    </row>
    <row r="938" customFormat="1" hidden="1" spans="1:8">
      <c r="A938" s="2">
        <v>46167</v>
      </c>
      <c r="B938" s="3">
        <v>1606026</v>
      </c>
      <c r="C938" s="3" t="s">
        <v>153</v>
      </c>
      <c r="D938" s="4">
        <v>20318340</v>
      </c>
      <c r="E938" s="3" t="s">
        <v>240</v>
      </c>
      <c r="F938" s="4">
        <v>1</v>
      </c>
      <c r="G938" s="5">
        <v>16.5</v>
      </c>
      <c r="H938" s="5">
        <f t="shared" si="14"/>
        <v>16.5</v>
      </c>
    </row>
    <row r="939" customFormat="1" hidden="1" spans="1:8">
      <c r="A939" s="2">
        <v>46167</v>
      </c>
      <c r="B939" s="3">
        <v>1606026</v>
      </c>
      <c r="C939" s="3" t="s">
        <v>153</v>
      </c>
      <c r="D939" s="4">
        <v>20340289</v>
      </c>
      <c r="E939" s="3" t="s">
        <v>272</v>
      </c>
      <c r="F939" s="4">
        <v>1</v>
      </c>
      <c r="G939" s="5">
        <v>16.5</v>
      </c>
      <c r="H939" s="5">
        <f t="shared" si="14"/>
        <v>16.5</v>
      </c>
    </row>
    <row r="940" customFormat="1" hidden="1" spans="1:8">
      <c r="A940" s="2">
        <v>46167</v>
      </c>
      <c r="B940" s="3">
        <v>1606026</v>
      </c>
      <c r="C940" s="3" t="s">
        <v>153</v>
      </c>
      <c r="D940" s="4">
        <v>20318336</v>
      </c>
      <c r="E940" s="3" t="s">
        <v>303</v>
      </c>
      <c r="F940" s="4">
        <v>1</v>
      </c>
      <c r="G940" s="5">
        <v>16.5</v>
      </c>
      <c r="H940" s="5">
        <f t="shared" si="14"/>
        <v>16.5</v>
      </c>
    </row>
    <row r="941" customFormat="1" hidden="1" spans="1:8">
      <c r="A941" s="2">
        <v>46167</v>
      </c>
      <c r="B941" s="3">
        <v>1606026</v>
      </c>
      <c r="C941" s="3" t="s">
        <v>153</v>
      </c>
      <c r="D941" s="4">
        <v>20318342</v>
      </c>
      <c r="E941" s="3" t="s">
        <v>304</v>
      </c>
      <c r="F941" s="4">
        <v>1</v>
      </c>
      <c r="G941" s="5">
        <v>16.5</v>
      </c>
      <c r="H941" s="5">
        <f t="shared" si="14"/>
        <v>16.5</v>
      </c>
    </row>
    <row r="942" customFormat="1" hidden="1" spans="1:8">
      <c r="A942" s="2">
        <v>46167</v>
      </c>
      <c r="B942" s="3">
        <v>1606073</v>
      </c>
      <c r="C942" s="3" t="s">
        <v>153</v>
      </c>
      <c r="D942" s="4">
        <v>20318380</v>
      </c>
      <c r="E942" s="3" t="s">
        <v>232</v>
      </c>
      <c r="F942" s="4">
        <v>1</v>
      </c>
      <c r="G942" s="5">
        <v>16.5</v>
      </c>
      <c r="H942" s="5">
        <f t="shared" si="14"/>
        <v>16.5</v>
      </c>
    </row>
    <row r="943" customFormat="1" hidden="1" spans="1:8">
      <c r="A943" s="2">
        <v>46167</v>
      </c>
      <c r="B943" s="3">
        <v>1606073</v>
      </c>
      <c r="C943" s="3" t="s">
        <v>153</v>
      </c>
      <c r="D943" s="4">
        <v>20318340</v>
      </c>
      <c r="E943" s="3" t="s">
        <v>240</v>
      </c>
      <c r="F943" s="4">
        <v>1</v>
      </c>
      <c r="G943" s="5">
        <v>16.5</v>
      </c>
      <c r="H943" s="5">
        <f t="shared" si="14"/>
        <v>16.5</v>
      </c>
    </row>
    <row r="944" customFormat="1" hidden="1" spans="1:8">
      <c r="A944" s="2">
        <v>46167</v>
      </c>
      <c r="B944" s="3">
        <v>1606097</v>
      </c>
      <c r="C944" s="3" t="s">
        <v>150</v>
      </c>
      <c r="D944" s="4">
        <v>20312966</v>
      </c>
      <c r="E944" s="3" t="s">
        <v>258</v>
      </c>
      <c r="F944" s="4">
        <v>2</v>
      </c>
      <c r="G944" s="5">
        <v>159.5</v>
      </c>
      <c r="H944" s="5">
        <f t="shared" si="14"/>
        <v>319</v>
      </c>
    </row>
    <row r="945" customFormat="1" hidden="1" spans="1:8">
      <c r="A945" s="2">
        <v>46167</v>
      </c>
      <c r="B945" s="3">
        <v>1606097</v>
      </c>
      <c r="C945" s="3" t="s">
        <v>150</v>
      </c>
      <c r="D945" s="4">
        <v>20312965</v>
      </c>
      <c r="E945" s="3" t="s">
        <v>112</v>
      </c>
      <c r="F945" s="4">
        <v>1</v>
      </c>
      <c r="G945" s="5">
        <v>137.5</v>
      </c>
      <c r="H945" s="5">
        <f t="shared" si="14"/>
        <v>137.5</v>
      </c>
    </row>
    <row r="946" customFormat="1" hidden="1" spans="1:8">
      <c r="A946" s="2">
        <v>46167</v>
      </c>
      <c r="B946" s="3">
        <v>1606097</v>
      </c>
      <c r="C946" s="3" t="s">
        <v>150</v>
      </c>
      <c r="D946" s="4">
        <v>20312967</v>
      </c>
      <c r="E946" s="3" t="s">
        <v>289</v>
      </c>
      <c r="F946" s="4">
        <v>4</v>
      </c>
      <c r="G946" s="5">
        <v>176</v>
      </c>
      <c r="H946" s="5">
        <f t="shared" si="14"/>
        <v>704</v>
      </c>
    </row>
    <row r="947" customFormat="1" hidden="1" spans="1:8">
      <c r="A947" s="2">
        <v>46167</v>
      </c>
      <c r="B947" s="3">
        <v>1606097</v>
      </c>
      <c r="C947" s="3" t="s">
        <v>150</v>
      </c>
      <c r="D947" s="4">
        <v>20424417</v>
      </c>
      <c r="E947" s="3" t="s">
        <v>312</v>
      </c>
      <c r="F947" s="4">
        <v>3</v>
      </c>
      <c r="G947" s="5">
        <v>66</v>
      </c>
      <c r="H947" s="5">
        <f t="shared" si="14"/>
        <v>198</v>
      </c>
    </row>
    <row r="948" customFormat="1" hidden="1" spans="1:8">
      <c r="A948" s="2">
        <v>46167</v>
      </c>
      <c r="B948" s="3">
        <v>1606097</v>
      </c>
      <c r="C948" s="3" t="s">
        <v>153</v>
      </c>
      <c r="D948" s="4">
        <v>20318334</v>
      </c>
      <c r="E948" s="3" t="s">
        <v>186</v>
      </c>
      <c r="F948" s="4">
        <v>2</v>
      </c>
      <c r="G948" s="5">
        <v>16.5</v>
      </c>
      <c r="H948" s="5">
        <f t="shared" si="14"/>
        <v>33</v>
      </c>
    </row>
    <row r="949" customFormat="1" hidden="1" spans="1:8">
      <c r="A949" s="2">
        <v>46167</v>
      </c>
      <c r="B949" s="3">
        <v>1606097</v>
      </c>
      <c r="C949" s="3" t="s">
        <v>153</v>
      </c>
      <c r="D949" s="4">
        <v>20318378</v>
      </c>
      <c r="E949" s="3" t="s">
        <v>231</v>
      </c>
      <c r="F949" s="4">
        <v>1</v>
      </c>
      <c r="G949" s="5">
        <v>16.5</v>
      </c>
      <c r="H949" s="5">
        <f t="shared" si="14"/>
        <v>16.5</v>
      </c>
    </row>
    <row r="950" customFormat="1" hidden="1" spans="1:8">
      <c r="A950" s="2">
        <v>46167</v>
      </c>
      <c r="B950" s="3">
        <v>1606097</v>
      </c>
      <c r="C950" s="3" t="s">
        <v>153</v>
      </c>
      <c r="D950" s="4">
        <v>20318340</v>
      </c>
      <c r="E950" s="3" t="s">
        <v>240</v>
      </c>
      <c r="F950" s="4">
        <v>1</v>
      </c>
      <c r="G950" s="5">
        <v>16.5</v>
      </c>
      <c r="H950" s="5">
        <f t="shared" si="14"/>
        <v>16.5</v>
      </c>
    </row>
    <row r="951" customFormat="1" hidden="1" spans="1:8">
      <c r="A951" s="2">
        <v>46167</v>
      </c>
      <c r="B951" s="3">
        <v>1606097</v>
      </c>
      <c r="C951" s="3" t="s">
        <v>153</v>
      </c>
      <c r="D951" s="4">
        <v>20321250</v>
      </c>
      <c r="E951" s="3" t="s">
        <v>259</v>
      </c>
      <c r="F951" s="4">
        <v>1</v>
      </c>
      <c r="G951" s="5">
        <v>16.5</v>
      </c>
      <c r="H951" s="5">
        <f t="shared" si="14"/>
        <v>16.5</v>
      </c>
    </row>
    <row r="952" customFormat="1" hidden="1" spans="1:8">
      <c r="A952" s="2">
        <v>46167</v>
      </c>
      <c r="B952" s="3">
        <v>1606097</v>
      </c>
      <c r="C952" s="3" t="s">
        <v>153</v>
      </c>
      <c r="D952" s="4">
        <v>20318336</v>
      </c>
      <c r="E952" s="3" t="s">
        <v>303</v>
      </c>
      <c r="F952" s="4">
        <v>1</v>
      </c>
      <c r="G952" s="5">
        <v>16.5</v>
      </c>
      <c r="H952" s="5">
        <f t="shared" si="14"/>
        <v>16.5</v>
      </c>
    </row>
    <row r="953" customFormat="1" hidden="1" spans="1:8">
      <c r="A953" s="2">
        <v>46167</v>
      </c>
      <c r="B953" s="3">
        <v>1606106</v>
      </c>
      <c r="C953" s="3" t="s">
        <v>150</v>
      </c>
      <c r="D953" s="4">
        <v>20312965</v>
      </c>
      <c r="E953" s="3" t="s">
        <v>112</v>
      </c>
      <c r="F953" s="4">
        <v>1</v>
      </c>
      <c r="G953" s="5">
        <v>137.5</v>
      </c>
      <c r="H953" s="5">
        <f t="shared" si="14"/>
        <v>137.5</v>
      </c>
    </row>
    <row r="954" customFormat="1" hidden="1" spans="1:8">
      <c r="A954" s="2">
        <v>46167</v>
      </c>
      <c r="B954" s="3">
        <v>1606106</v>
      </c>
      <c r="C954" s="3" t="s">
        <v>150</v>
      </c>
      <c r="D954" s="4">
        <v>20312967</v>
      </c>
      <c r="E954" s="3" t="s">
        <v>289</v>
      </c>
      <c r="F954" s="4">
        <v>2</v>
      </c>
      <c r="G954" s="5">
        <v>176</v>
      </c>
      <c r="H954" s="5">
        <f t="shared" si="14"/>
        <v>352</v>
      </c>
    </row>
    <row r="955" customFormat="1" hidden="1" spans="1:8">
      <c r="A955" s="2">
        <v>46167</v>
      </c>
      <c r="B955" s="3">
        <v>1606111</v>
      </c>
      <c r="C955" s="3" t="s">
        <v>150</v>
      </c>
      <c r="D955" s="4">
        <v>20312966</v>
      </c>
      <c r="E955" s="3" t="s">
        <v>258</v>
      </c>
      <c r="F955" s="4">
        <v>3</v>
      </c>
      <c r="G955" s="5">
        <v>159.5</v>
      </c>
      <c r="H955" s="5">
        <f t="shared" si="14"/>
        <v>478.5</v>
      </c>
    </row>
    <row r="956" customFormat="1" hidden="1" spans="1:8">
      <c r="A956" s="2">
        <v>46167</v>
      </c>
      <c r="B956" s="3">
        <v>1606111</v>
      </c>
      <c r="C956" s="3" t="s">
        <v>150</v>
      </c>
      <c r="D956" s="4">
        <v>20312965</v>
      </c>
      <c r="E956" s="3" t="s">
        <v>112</v>
      </c>
      <c r="F956" s="4">
        <v>1</v>
      </c>
      <c r="G956" s="5">
        <v>137.5</v>
      </c>
      <c r="H956" s="5">
        <f t="shared" si="14"/>
        <v>137.5</v>
      </c>
    </row>
    <row r="957" customFormat="1" hidden="1" spans="1:8">
      <c r="A957" s="2">
        <v>46167</v>
      </c>
      <c r="B957" s="3">
        <v>1606111</v>
      </c>
      <c r="C957" s="3" t="s">
        <v>150</v>
      </c>
      <c r="D957" s="4">
        <v>20312967</v>
      </c>
      <c r="E957" s="3" t="s">
        <v>289</v>
      </c>
      <c r="F957" s="4">
        <v>4</v>
      </c>
      <c r="G957" s="5">
        <v>176</v>
      </c>
      <c r="H957" s="5">
        <f t="shared" si="14"/>
        <v>704</v>
      </c>
    </row>
    <row r="958" customFormat="1" hidden="1" spans="1:8">
      <c r="A958" s="2">
        <v>46167</v>
      </c>
      <c r="B958" s="3">
        <v>1606111</v>
      </c>
      <c r="C958" s="3" t="s">
        <v>150</v>
      </c>
      <c r="D958" s="4">
        <v>20424417</v>
      </c>
      <c r="E958" s="3" t="s">
        <v>312</v>
      </c>
      <c r="F958" s="4">
        <v>2</v>
      </c>
      <c r="G958" s="5">
        <v>66</v>
      </c>
      <c r="H958" s="5">
        <f t="shared" si="14"/>
        <v>132</v>
      </c>
    </row>
    <row r="959" customFormat="1" hidden="1" spans="1:8">
      <c r="A959" s="2">
        <v>46167</v>
      </c>
      <c r="B959" s="3">
        <v>1606111</v>
      </c>
      <c r="C959" s="3" t="s">
        <v>156</v>
      </c>
      <c r="D959" s="4">
        <v>20322235</v>
      </c>
      <c r="E959" s="3" t="s">
        <v>111</v>
      </c>
      <c r="F959" s="4">
        <v>16</v>
      </c>
      <c r="G959" s="5">
        <v>2.5</v>
      </c>
      <c r="H959" s="5">
        <f t="shared" si="14"/>
        <v>40</v>
      </c>
    </row>
    <row r="960" customFormat="1" hidden="1" spans="1:8">
      <c r="A960" s="2">
        <v>46167</v>
      </c>
      <c r="B960" s="3">
        <v>1606111</v>
      </c>
      <c r="C960" s="3" t="s">
        <v>156</v>
      </c>
      <c r="D960" s="4">
        <v>20322243</v>
      </c>
      <c r="E960" s="3" t="s">
        <v>117</v>
      </c>
      <c r="F960" s="4">
        <v>2</v>
      </c>
      <c r="G960" s="5">
        <v>30</v>
      </c>
      <c r="H960" s="5">
        <f t="shared" si="14"/>
        <v>60</v>
      </c>
    </row>
    <row r="961" customFormat="1" hidden="1" spans="1:9">
      <c r="A961" s="2">
        <v>46167</v>
      </c>
      <c r="B961" s="3">
        <v>1606111</v>
      </c>
      <c r="C961" s="3" t="s">
        <v>156</v>
      </c>
      <c r="D961" s="4">
        <v>20322234</v>
      </c>
      <c r="E961" s="3" t="s">
        <v>274</v>
      </c>
      <c r="F961" s="4">
        <v>10</v>
      </c>
      <c r="G961" s="5">
        <v>2.5</v>
      </c>
      <c r="H961" s="5">
        <f t="shared" si="14"/>
        <v>25</v>
      </c>
    </row>
    <row r="962" customFormat="1" hidden="1" spans="1:9">
      <c r="A962" s="2">
        <v>46167</v>
      </c>
      <c r="B962" s="3">
        <v>1606111</v>
      </c>
      <c r="C962" s="3" t="s">
        <v>156</v>
      </c>
      <c r="D962" s="4">
        <v>20330757</v>
      </c>
      <c r="E962" s="3" t="s">
        <v>288</v>
      </c>
      <c r="F962" s="4">
        <v>2</v>
      </c>
      <c r="G962" s="5">
        <v>35</v>
      </c>
      <c r="H962" s="5">
        <f t="shared" ref="H962:H1025" si="15">G962*F962</f>
        <v>70</v>
      </c>
    </row>
    <row r="963" customFormat="1" hidden="1" spans="1:9">
      <c r="A963" s="2">
        <v>46167</v>
      </c>
      <c r="B963" s="3">
        <v>1606111</v>
      </c>
      <c r="C963" s="3" t="s">
        <v>156</v>
      </c>
      <c r="D963" s="4">
        <v>20402355</v>
      </c>
      <c r="E963" s="3" t="s">
        <v>291</v>
      </c>
      <c r="F963" s="4">
        <v>1</v>
      </c>
      <c r="G963" s="5">
        <v>25</v>
      </c>
      <c r="H963" s="5">
        <f t="shared" si="15"/>
        <v>25</v>
      </c>
    </row>
    <row r="964" customFormat="1" hidden="1" spans="1:9">
      <c r="A964" s="2">
        <v>46167</v>
      </c>
      <c r="B964" s="3">
        <v>1606111</v>
      </c>
      <c r="C964" s="3" t="s">
        <v>153</v>
      </c>
      <c r="D964" s="4">
        <v>20318334</v>
      </c>
      <c r="E964" s="3" t="s">
        <v>186</v>
      </c>
      <c r="F964" s="4">
        <v>2</v>
      </c>
      <c r="G964" s="5">
        <v>16.5</v>
      </c>
      <c r="H964" s="5">
        <f t="shared" si="15"/>
        <v>33</v>
      </c>
    </row>
    <row r="965" customFormat="1" hidden="1" spans="1:9">
      <c r="A965" s="2">
        <v>46167</v>
      </c>
      <c r="B965" s="3">
        <v>1606111</v>
      </c>
      <c r="C965" s="3" t="s">
        <v>153</v>
      </c>
      <c r="D965" s="4">
        <v>20318340</v>
      </c>
      <c r="E965" s="3" t="s">
        <v>240</v>
      </c>
      <c r="F965" s="4">
        <v>1</v>
      </c>
      <c r="G965" s="5">
        <v>16.5</v>
      </c>
      <c r="H965" s="5">
        <f t="shared" si="15"/>
        <v>16.5</v>
      </c>
    </row>
    <row r="966" customFormat="1" hidden="1" spans="1:9">
      <c r="A966" s="2">
        <v>46167</v>
      </c>
      <c r="B966" s="3">
        <v>1606111</v>
      </c>
      <c r="C966" s="3" t="s">
        <v>153</v>
      </c>
      <c r="D966" s="4">
        <v>20321250</v>
      </c>
      <c r="E966" s="3" t="s">
        <v>259</v>
      </c>
      <c r="F966" s="4">
        <v>1</v>
      </c>
      <c r="G966" s="5">
        <v>16.5</v>
      </c>
      <c r="H966" s="5">
        <f t="shared" si="15"/>
        <v>16.5</v>
      </c>
    </row>
    <row r="967" customFormat="1" hidden="1" spans="1:9">
      <c r="A967" s="2">
        <v>46167</v>
      </c>
      <c r="B967" s="3">
        <v>1606111</v>
      </c>
      <c r="C967" s="3" t="s">
        <v>153</v>
      </c>
      <c r="D967" s="4">
        <v>20318336</v>
      </c>
      <c r="E967" s="3" t="s">
        <v>303</v>
      </c>
      <c r="F967" s="4">
        <v>1</v>
      </c>
      <c r="G967" s="5">
        <v>16.5</v>
      </c>
      <c r="H967" s="5">
        <f t="shared" si="15"/>
        <v>16.5</v>
      </c>
    </row>
    <row r="968" customFormat="1" hidden="1" spans="1:9">
      <c r="A968" s="2">
        <v>46167</v>
      </c>
      <c r="B968" s="3">
        <v>1606169</v>
      </c>
      <c r="C968" s="3" t="s">
        <v>150</v>
      </c>
      <c r="D968" s="4">
        <v>20321719</v>
      </c>
      <c r="E968" s="3" t="s">
        <v>163</v>
      </c>
      <c r="F968" s="4">
        <v>1</v>
      </c>
      <c r="G968" s="5">
        <v>49.5</v>
      </c>
      <c r="H968" s="5">
        <f t="shared" si="15"/>
        <v>49.5</v>
      </c>
    </row>
    <row r="969" customFormat="1" hidden="1" spans="1:9">
      <c r="A969" s="2">
        <v>46167</v>
      </c>
      <c r="B969" s="3">
        <v>1606169</v>
      </c>
      <c r="C969" s="3" t="s">
        <v>150</v>
      </c>
      <c r="D969" s="4">
        <v>20312966</v>
      </c>
      <c r="E969" s="3" t="s">
        <v>258</v>
      </c>
      <c r="F969" s="4">
        <v>9</v>
      </c>
      <c r="G969" s="5">
        <v>159.5</v>
      </c>
      <c r="H969" s="5">
        <f t="shared" si="15"/>
        <v>1435.5</v>
      </c>
    </row>
    <row r="970" customFormat="1" hidden="1" spans="1:9">
      <c r="A970" s="2">
        <v>46167</v>
      </c>
      <c r="B970" s="3">
        <v>1606169</v>
      </c>
      <c r="C970" s="3" t="s">
        <v>150</v>
      </c>
      <c r="D970" s="4">
        <v>20312965</v>
      </c>
      <c r="E970" s="3" t="s">
        <v>112</v>
      </c>
      <c r="F970" s="4">
        <v>7</v>
      </c>
      <c r="G970" s="5">
        <v>137.5</v>
      </c>
      <c r="H970" s="5">
        <f t="shared" si="15"/>
        <v>962.5</v>
      </c>
    </row>
    <row r="971" customFormat="1" hidden="1" spans="1:9">
      <c r="A971" s="2">
        <v>46167</v>
      </c>
      <c r="B971" s="3">
        <v>1606169</v>
      </c>
      <c r="C971" s="3" t="s">
        <v>150</v>
      </c>
      <c r="D971" s="4">
        <v>20312968</v>
      </c>
      <c r="E971" s="3" t="s">
        <v>276</v>
      </c>
      <c r="F971" s="4">
        <v>1</v>
      </c>
      <c r="G971" s="5">
        <v>187</v>
      </c>
      <c r="H971" s="5">
        <f t="shared" si="15"/>
        <v>187</v>
      </c>
    </row>
    <row r="972" customFormat="1" hidden="1" spans="1:9">
      <c r="A972" s="2">
        <v>46167</v>
      </c>
      <c r="B972" s="3">
        <v>1606169</v>
      </c>
      <c r="C972" s="3" t="s">
        <v>150</v>
      </c>
      <c r="D972" s="4">
        <v>20312967</v>
      </c>
      <c r="E972" s="3" t="s">
        <v>289</v>
      </c>
      <c r="F972" s="4">
        <v>6</v>
      </c>
      <c r="G972" s="5">
        <v>176</v>
      </c>
      <c r="H972" s="5">
        <f t="shared" si="15"/>
        <v>1056</v>
      </c>
    </row>
    <row r="973" customFormat="1" spans="1:9">
      <c r="A973" s="2">
        <v>46167</v>
      </c>
      <c r="B973" s="3">
        <v>1606169</v>
      </c>
      <c r="C973" s="3" t="s">
        <v>150</v>
      </c>
      <c r="D973" s="4">
        <v>20414050</v>
      </c>
      <c r="E973" s="3" t="s">
        <v>298</v>
      </c>
      <c r="F973" s="4">
        <v>1</v>
      </c>
      <c r="G973" s="5">
        <v>121</v>
      </c>
      <c r="H973" s="5">
        <f t="shared" si="15"/>
        <v>121</v>
      </c>
      <c r="I973">
        <f>G973/5.5</f>
        <v>22</v>
      </c>
    </row>
    <row r="974" customFormat="1" hidden="1" spans="1:9">
      <c r="A974" s="2">
        <v>46167</v>
      </c>
      <c r="B974" s="3">
        <v>1606169</v>
      </c>
      <c r="C974" s="3" t="s">
        <v>151</v>
      </c>
      <c r="D974" s="4">
        <v>20427031</v>
      </c>
      <c r="E974" s="3" t="s">
        <v>271</v>
      </c>
      <c r="F974" s="4">
        <v>1</v>
      </c>
      <c r="G974" s="5">
        <f>16.5</f>
        <v>16.5</v>
      </c>
      <c r="H974" s="5">
        <f t="shared" si="15"/>
        <v>16.5</v>
      </c>
    </row>
    <row r="975" customFormat="1" hidden="1" spans="1:9">
      <c r="A975" s="2">
        <v>46167</v>
      </c>
      <c r="B975" s="3">
        <v>1606169</v>
      </c>
      <c r="C975" s="3" t="s">
        <v>156</v>
      </c>
      <c r="D975" s="4">
        <v>20322235</v>
      </c>
      <c r="E975" s="3" t="s">
        <v>111</v>
      </c>
      <c r="F975" s="4">
        <v>7</v>
      </c>
      <c r="G975" s="5">
        <v>2.5</v>
      </c>
      <c r="H975" s="5">
        <f t="shared" si="15"/>
        <v>17.5</v>
      </c>
    </row>
    <row r="976" customFormat="1" hidden="1" spans="1:9">
      <c r="A976" s="2">
        <v>46167</v>
      </c>
      <c r="B976" s="3">
        <v>1606169</v>
      </c>
      <c r="C976" s="3" t="s">
        <v>156</v>
      </c>
      <c r="D976" s="4">
        <v>20330757</v>
      </c>
      <c r="E976" s="3" t="s">
        <v>288</v>
      </c>
      <c r="F976" s="4">
        <v>3</v>
      </c>
      <c r="G976" s="5">
        <v>35</v>
      </c>
      <c r="H976" s="5">
        <f t="shared" si="15"/>
        <v>105</v>
      </c>
    </row>
    <row r="977" customFormat="1" hidden="1" spans="1:8">
      <c r="A977" s="2">
        <v>46167</v>
      </c>
      <c r="B977" s="3">
        <v>1606169</v>
      </c>
      <c r="C977" s="3" t="s">
        <v>152</v>
      </c>
      <c r="D977" s="4">
        <v>20340286</v>
      </c>
      <c r="E977" s="3" t="s">
        <v>169</v>
      </c>
      <c r="F977" s="4">
        <v>1</v>
      </c>
      <c r="G977" s="5">
        <v>55</v>
      </c>
      <c r="H977" s="5">
        <f t="shared" si="15"/>
        <v>55</v>
      </c>
    </row>
    <row r="978" customFormat="1" hidden="1" spans="1:8">
      <c r="A978" s="2">
        <v>46167</v>
      </c>
      <c r="B978" s="3">
        <v>1606169</v>
      </c>
      <c r="C978" s="3" t="s">
        <v>152</v>
      </c>
      <c r="D978" s="4">
        <v>20366063</v>
      </c>
      <c r="E978" s="3" t="s">
        <v>193</v>
      </c>
      <c r="F978" s="4">
        <v>1</v>
      </c>
      <c r="G978" s="5">
        <v>66</v>
      </c>
      <c r="H978" s="5">
        <f t="shared" si="15"/>
        <v>66</v>
      </c>
    </row>
    <row r="979" customFormat="1" hidden="1" spans="1:8">
      <c r="A979" s="2">
        <v>46167</v>
      </c>
      <c r="B979" s="3">
        <v>1606169</v>
      </c>
      <c r="C979" s="3" t="s">
        <v>153</v>
      </c>
      <c r="D979" s="4">
        <v>20321257</v>
      </c>
      <c r="E979" s="3" t="s">
        <v>68</v>
      </c>
      <c r="F979" s="4">
        <v>5</v>
      </c>
      <c r="G979" s="5">
        <v>16.5</v>
      </c>
      <c r="H979" s="5">
        <f t="shared" si="15"/>
        <v>82.5</v>
      </c>
    </row>
    <row r="980" customFormat="1" hidden="1" spans="1:8">
      <c r="A980" s="2">
        <v>46167</v>
      </c>
      <c r="B980" s="3">
        <v>1606169</v>
      </c>
      <c r="C980" s="3" t="s">
        <v>153</v>
      </c>
      <c r="D980" s="4">
        <v>20363041</v>
      </c>
      <c r="E980" s="3" t="s">
        <v>187</v>
      </c>
      <c r="F980" s="4">
        <v>2</v>
      </c>
      <c r="G980" s="5">
        <v>16.5</v>
      </c>
      <c r="H980" s="5">
        <f t="shared" si="15"/>
        <v>33</v>
      </c>
    </row>
    <row r="981" customFormat="1" hidden="1" spans="1:8">
      <c r="A981" s="2">
        <v>46167</v>
      </c>
      <c r="B981" s="3">
        <v>1606169</v>
      </c>
      <c r="C981" s="3" t="s">
        <v>153</v>
      </c>
      <c r="D981" s="4">
        <v>20343399</v>
      </c>
      <c r="E981" s="3" t="s">
        <v>228</v>
      </c>
      <c r="F981" s="4">
        <v>1</v>
      </c>
      <c r="G981" s="5">
        <v>33</v>
      </c>
      <c r="H981" s="5">
        <f t="shared" si="15"/>
        <v>33</v>
      </c>
    </row>
    <row r="982" customFormat="1" hidden="1" spans="1:8">
      <c r="A982" s="2">
        <v>46167</v>
      </c>
      <c r="B982" s="3">
        <v>1606169</v>
      </c>
      <c r="C982" s="3" t="s">
        <v>153</v>
      </c>
      <c r="D982" s="4">
        <v>20321250</v>
      </c>
      <c r="E982" s="3" t="s">
        <v>259</v>
      </c>
      <c r="F982" s="4">
        <v>3</v>
      </c>
      <c r="G982" s="5">
        <v>16.5</v>
      </c>
      <c r="H982" s="5">
        <f t="shared" si="15"/>
        <v>49.5</v>
      </c>
    </row>
    <row r="983" customFormat="1" hidden="1" spans="1:8">
      <c r="A983" s="2">
        <v>46167</v>
      </c>
      <c r="B983" s="3">
        <v>1606169</v>
      </c>
      <c r="C983" s="3" t="s">
        <v>153</v>
      </c>
      <c r="D983" s="4">
        <v>20340289</v>
      </c>
      <c r="E983" s="3" t="s">
        <v>272</v>
      </c>
      <c r="F983" s="4">
        <v>4</v>
      </c>
      <c r="G983" s="5">
        <v>16.5</v>
      </c>
      <c r="H983" s="5">
        <f t="shared" si="15"/>
        <v>66</v>
      </c>
    </row>
    <row r="984" customFormat="1" hidden="1" spans="1:8">
      <c r="A984" s="2">
        <v>46167</v>
      </c>
      <c r="B984" s="3">
        <v>1606169</v>
      </c>
      <c r="C984" s="3" t="s">
        <v>153</v>
      </c>
      <c r="D984" s="4">
        <v>20383164</v>
      </c>
      <c r="E984" s="3" t="s">
        <v>273</v>
      </c>
      <c r="F984" s="4">
        <v>1</v>
      </c>
      <c r="G984" s="5">
        <v>22</v>
      </c>
      <c r="H984" s="5">
        <f t="shared" si="15"/>
        <v>22</v>
      </c>
    </row>
    <row r="985" customFormat="1" hidden="1" spans="1:8">
      <c r="A985" s="2">
        <v>46167</v>
      </c>
      <c r="B985" s="3">
        <v>1606169</v>
      </c>
      <c r="C985" s="3" t="s">
        <v>153</v>
      </c>
      <c r="D985" s="4">
        <v>20318379</v>
      </c>
      <c r="E985" s="3" t="s">
        <v>127</v>
      </c>
      <c r="F985" s="4">
        <v>1</v>
      </c>
      <c r="G985" s="5">
        <v>16.5</v>
      </c>
      <c r="H985" s="5">
        <f t="shared" si="15"/>
        <v>16.5</v>
      </c>
    </row>
    <row r="986" customFormat="1" hidden="1" spans="1:8">
      <c r="A986" s="2">
        <v>46167</v>
      </c>
      <c r="B986" s="3">
        <v>1606169</v>
      </c>
      <c r="C986" s="3" t="s">
        <v>153</v>
      </c>
      <c r="D986" s="4">
        <v>20318389</v>
      </c>
      <c r="E986" s="3" t="s">
        <v>302</v>
      </c>
      <c r="F986" s="4">
        <v>1</v>
      </c>
      <c r="G986" s="5">
        <v>16.5</v>
      </c>
      <c r="H986" s="5">
        <f t="shared" si="15"/>
        <v>16.5</v>
      </c>
    </row>
    <row r="987" customFormat="1" hidden="1" spans="1:8">
      <c r="A987" s="2">
        <v>46167</v>
      </c>
      <c r="B987" s="3">
        <v>1606169</v>
      </c>
      <c r="C987" s="3" t="s">
        <v>153</v>
      </c>
      <c r="D987" s="4">
        <v>20318336</v>
      </c>
      <c r="E987" s="3" t="s">
        <v>303</v>
      </c>
      <c r="F987" s="4">
        <v>1</v>
      </c>
      <c r="G987" s="5">
        <v>16.5</v>
      </c>
      <c r="H987" s="5">
        <f t="shared" si="15"/>
        <v>16.5</v>
      </c>
    </row>
    <row r="988" customFormat="1" hidden="1" spans="1:8">
      <c r="A988" s="2">
        <v>46167</v>
      </c>
      <c r="B988" s="3">
        <v>1606169</v>
      </c>
      <c r="C988" s="3" t="s">
        <v>153</v>
      </c>
      <c r="D988" s="4">
        <v>20318342</v>
      </c>
      <c r="E988" s="3" t="s">
        <v>304</v>
      </c>
      <c r="F988" s="4">
        <v>1</v>
      </c>
      <c r="G988" s="5">
        <v>16.5</v>
      </c>
      <c r="H988" s="5">
        <f t="shared" si="15"/>
        <v>16.5</v>
      </c>
    </row>
    <row r="989" customFormat="1" hidden="1" spans="1:8">
      <c r="A989" s="2">
        <v>46167</v>
      </c>
      <c r="B989" s="3">
        <v>1606169</v>
      </c>
      <c r="C989" s="3" t="s">
        <v>153</v>
      </c>
      <c r="D989" s="4">
        <v>20318393</v>
      </c>
      <c r="E989" s="3" t="s">
        <v>140</v>
      </c>
      <c r="F989" s="4">
        <v>1</v>
      </c>
      <c r="G989" s="5">
        <v>16.5</v>
      </c>
      <c r="H989" s="5">
        <f t="shared" si="15"/>
        <v>16.5</v>
      </c>
    </row>
    <row r="990" customFormat="1" hidden="1" spans="1:8">
      <c r="A990" s="2">
        <v>46168</v>
      </c>
      <c r="B990" s="3">
        <v>1606373</v>
      </c>
      <c r="C990" s="3" t="s">
        <v>150</v>
      </c>
      <c r="D990" s="4">
        <v>20321476</v>
      </c>
      <c r="E990" s="3" t="s">
        <v>161</v>
      </c>
      <c r="F990" s="4">
        <v>1</v>
      </c>
      <c r="G990" s="5">
        <v>55</v>
      </c>
      <c r="H990" s="5">
        <f t="shared" si="15"/>
        <v>55</v>
      </c>
    </row>
    <row r="991" customFormat="1" hidden="1" spans="1:8">
      <c r="A991" s="2">
        <v>46168</v>
      </c>
      <c r="B991" s="3">
        <v>1606373</v>
      </c>
      <c r="C991" s="3" t="s">
        <v>150</v>
      </c>
      <c r="D991" s="4">
        <v>20321252</v>
      </c>
      <c r="E991" s="3" t="s">
        <v>162</v>
      </c>
      <c r="F991" s="4">
        <v>1</v>
      </c>
      <c r="G991" s="5">
        <v>49.5</v>
      </c>
      <c r="H991" s="5">
        <f t="shared" si="15"/>
        <v>49.5</v>
      </c>
    </row>
    <row r="992" customFormat="1" hidden="1" spans="1:8">
      <c r="A992" s="2">
        <v>46168</v>
      </c>
      <c r="B992" s="3">
        <v>1606373</v>
      </c>
      <c r="C992" s="3" t="s">
        <v>156</v>
      </c>
      <c r="D992" s="4">
        <v>20322243</v>
      </c>
      <c r="E992" s="3" t="s">
        <v>117</v>
      </c>
      <c r="F992" s="4">
        <v>1</v>
      </c>
      <c r="G992" s="5">
        <v>30</v>
      </c>
      <c r="H992" s="5">
        <f t="shared" si="15"/>
        <v>30</v>
      </c>
    </row>
    <row r="993" customFormat="1" hidden="1" spans="1:8">
      <c r="A993" s="2">
        <v>46168</v>
      </c>
      <c r="B993" s="3">
        <v>1606373</v>
      </c>
      <c r="C993" s="3" t="s">
        <v>156</v>
      </c>
      <c r="D993" s="4">
        <v>20330757</v>
      </c>
      <c r="E993" s="3" t="s">
        <v>288</v>
      </c>
      <c r="F993" s="4">
        <v>5</v>
      </c>
      <c r="G993" s="5">
        <v>35</v>
      </c>
      <c r="H993" s="5">
        <f t="shared" si="15"/>
        <v>175</v>
      </c>
    </row>
    <row r="994" customFormat="1" hidden="1" spans="1:8">
      <c r="A994" s="2">
        <v>46168</v>
      </c>
      <c r="B994" s="3">
        <v>1606418</v>
      </c>
      <c r="C994" s="3" t="s">
        <v>150</v>
      </c>
      <c r="D994" s="4">
        <v>20313003</v>
      </c>
      <c r="E994" s="3" t="s">
        <v>239</v>
      </c>
      <c r="F994" s="4">
        <v>1</v>
      </c>
      <c r="G994" s="5">
        <v>418</v>
      </c>
      <c r="H994" s="5">
        <f t="shared" si="15"/>
        <v>418</v>
      </c>
    </row>
    <row r="995" customFormat="1" hidden="1" spans="1:8">
      <c r="A995" s="2">
        <v>46168</v>
      </c>
      <c r="B995" s="3">
        <v>1606418</v>
      </c>
      <c r="C995" s="3" t="s">
        <v>150</v>
      </c>
      <c r="D995" s="4">
        <v>20312966</v>
      </c>
      <c r="E995" s="3" t="s">
        <v>258</v>
      </c>
      <c r="F995" s="4">
        <v>5</v>
      </c>
      <c r="G995" s="5">
        <v>159.5</v>
      </c>
      <c r="H995" s="5">
        <f t="shared" si="15"/>
        <v>797.5</v>
      </c>
    </row>
    <row r="996" customFormat="1" hidden="1" spans="1:8">
      <c r="A996" s="2">
        <v>46168</v>
      </c>
      <c r="B996" s="3">
        <v>1606418</v>
      </c>
      <c r="C996" s="3" t="s">
        <v>150</v>
      </c>
      <c r="D996" s="4">
        <v>20312965</v>
      </c>
      <c r="E996" s="3" t="s">
        <v>112</v>
      </c>
      <c r="F996" s="4">
        <v>3</v>
      </c>
      <c r="G996" s="5">
        <v>137.5</v>
      </c>
      <c r="H996" s="5">
        <f t="shared" si="15"/>
        <v>412.5</v>
      </c>
    </row>
    <row r="997" customFormat="1" hidden="1" spans="1:8">
      <c r="A997" s="2">
        <v>46168</v>
      </c>
      <c r="B997" s="3">
        <v>1606418</v>
      </c>
      <c r="C997" s="3" t="s">
        <v>150</v>
      </c>
      <c r="D997" s="4">
        <v>20312968</v>
      </c>
      <c r="E997" s="3" t="s">
        <v>276</v>
      </c>
      <c r="F997" s="4">
        <v>1</v>
      </c>
      <c r="G997" s="5">
        <v>187</v>
      </c>
      <c r="H997" s="5">
        <f t="shared" si="15"/>
        <v>187</v>
      </c>
    </row>
    <row r="998" customFormat="1" hidden="1" spans="1:8">
      <c r="A998" s="2">
        <v>46168</v>
      </c>
      <c r="B998" s="3">
        <v>1606418</v>
      </c>
      <c r="C998" s="3" t="s">
        <v>150</v>
      </c>
      <c r="D998" s="4">
        <v>20312967</v>
      </c>
      <c r="E998" s="3" t="s">
        <v>289</v>
      </c>
      <c r="F998" s="4">
        <v>5</v>
      </c>
      <c r="G998" s="5">
        <v>176</v>
      </c>
      <c r="H998" s="5">
        <f t="shared" si="15"/>
        <v>880</v>
      </c>
    </row>
    <row r="999" customFormat="1" hidden="1" spans="1:8">
      <c r="A999" s="2">
        <v>46168</v>
      </c>
      <c r="B999" s="3">
        <v>1606418</v>
      </c>
      <c r="C999" s="3" t="s">
        <v>156</v>
      </c>
      <c r="D999" s="4">
        <v>20322235</v>
      </c>
      <c r="E999" s="3" t="s">
        <v>111</v>
      </c>
      <c r="F999" s="4">
        <v>4</v>
      </c>
      <c r="G999" s="5">
        <v>2.5</v>
      </c>
      <c r="H999" s="5">
        <f t="shared" si="15"/>
        <v>10</v>
      </c>
    </row>
    <row r="1000" customFormat="1" hidden="1" spans="1:8">
      <c r="A1000" s="2">
        <v>46168</v>
      </c>
      <c r="B1000" s="3">
        <v>1606418</v>
      </c>
      <c r="C1000" s="3" t="s">
        <v>153</v>
      </c>
      <c r="D1000" s="4">
        <v>20321257</v>
      </c>
      <c r="E1000" s="3" t="s">
        <v>68</v>
      </c>
      <c r="F1000" s="4">
        <v>10</v>
      </c>
      <c r="G1000" s="5">
        <v>16.5</v>
      </c>
      <c r="H1000" s="5">
        <f t="shared" si="15"/>
        <v>165</v>
      </c>
    </row>
    <row r="1001" customFormat="1" hidden="1" spans="1:8">
      <c r="A1001" s="2">
        <v>46168</v>
      </c>
      <c r="B1001" s="3">
        <v>1606418</v>
      </c>
      <c r="C1001" s="3" t="s">
        <v>153</v>
      </c>
      <c r="D1001" s="4">
        <v>20363041</v>
      </c>
      <c r="E1001" s="3" t="s">
        <v>187</v>
      </c>
      <c r="F1001" s="4">
        <v>1</v>
      </c>
      <c r="G1001" s="5">
        <v>16.5</v>
      </c>
      <c r="H1001" s="5">
        <f t="shared" si="15"/>
        <v>16.5</v>
      </c>
    </row>
    <row r="1002" customFormat="1" hidden="1" spans="1:8">
      <c r="A1002" s="2">
        <v>46168</v>
      </c>
      <c r="B1002" s="3">
        <v>1606418</v>
      </c>
      <c r="C1002" s="3" t="s">
        <v>153</v>
      </c>
      <c r="D1002" s="4">
        <v>20318380</v>
      </c>
      <c r="E1002" s="3" t="s">
        <v>232</v>
      </c>
      <c r="F1002" s="4">
        <v>2</v>
      </c>
      <c r="G1002" s="5">
        <v>16.5</v>
      </c>
      <c r="H1002" s="5">
        <f t="shared" si="15"/>
        <v>33</v>
      </c>
    </row>
    <row r="1003" customFormat="1" hidden="1" spans="1:8">
      <c r="A1003" s="2">
        <v>46168</v>
      </c>
      <c r="B1003" s="3">
        <v>1606418</v>
      </c>
      <c r="C1003" s="3" t="s">
        <v>153</v>
      </c>
      <c r="D1003" s="4">
        <v>20321502</v>
      </c>
      <c r="E1003" s="3" t="s">
        <v>251</v>
      </c>
      <c r="F1003" s="4">
        <v>1</v>
      </c>
      <c r="G1003" s="5">
        <v>16.5</v>
      </c>
      <c r="H1003" s="5">
        <f t="shared" si="15"/>
        <v>16.5</v>
      </c>
    </row>
    <row r="1004" customFormat="1" hidden="1" spans="1:8">
      <c r="A1004" s="2">
        <v>46168</v>
      </c>
      <c r="B1004" s="3">
        <v>1606418</v>
      </c>
      <c r="C1004" s="3" t="s">
        <v>153</v>
      </c>
      <c r="D1004" s="4">
        <v>20321250</v>
      </c>
      <c r="E1004" s="3" t="s">
        <v>259</v>
      </c>
      <c r="F1004" s="4">
        <v>1</v>
      </c>
      <c r="G1004" s="5">
        <v>16.5</v>
      </c>
      <c r="H1004" s="5">
        <f t="shared" si="15"/>
        <v>16.5</v>
      </c>
    </row>
    <row r="1005" customFormat="1" hidden="1" spans="1:8">
      <c r="A1005" s="2">
        <v>46168</v>
      </c>
      <c r="B1005" s="3">
        <v>1606418</v>
      </c>
      <c r="C1005" s="3" t="s">
        <v>153</v>
      </c>
      <c r="D1005" s="4">
        <v>20318383</v>
      </c>
      <c r="E1005" s="3" t="s">
        <v>261</v>
      </c>
      <c r="F1005" s="4">
        <v>1</v>
      </c>
      <c r="G1005" s="5">
        <v>16.5</v>
      </c>
      <c r="H1005" s="5">
        <f t="shared" si="15"/>
        <v>16.5</v>
      </c>
    </row>
    <row r="1006" customFormat="1" hidden="1" spans="1:8">
      <c r="A1006" s="2">
        <v>46168</v>
      </c>
      <c r="B1006" s="3">
        <v>1606418</v>
      </c>
      <c r="C1006" s="3" t="s">
        <v>153</v>
      </c>
      <c r="D1006" s="4">
        <v>20318342</v>
      </c>
      <c r="E1006" s="3" t="s">
        <v>304</v>
      </c>
      <c r="F1006" s="4">
        <v>1</v>
      </c>
      <c r="G1006" s="5">
        <v>16.5</v>
      </c>
      <c r="H1006" s="5">
        <f t="shared" si="15"/>
        <v>16.5</v>
      </c>
    </row>
    <row r="1007" customFormat="1" hidden="1" spans="1:8">
      <c r="A1007" s="2">
        <v>46168</v>
      </c>
      <c r="B1007" s="3">
        <v>1606430</v>
      </c>
      <c r="C1007" s="3" t="s">
        <v>150</v>
      </c>
      <c r="D1007" s="4">
        <v>20321719</v>
      </c>
      <c r="E1007" s="3" t="s">
        <v>163</v>
      </c>
      <c r="F1007" s="4">
        <v>1</v>
      </c>
      <c r="G1007" s="5">
        <v>49.5</v>
      </c>
      <c r="H1007" s="5">
        <f t="shared" si="15"/>
        <v>49.5</v>
      </c>
    </row>
    <row r="1008" customFormat="1" hidden="1" spans="1:8">
      <c r="A1008" s="2">
        <v>46168</v>
      </c>
      <c r="B1008" s="3">
        <v>1606473</v>
      </c>
      <c r="C1008" s="3" t="s">
        <v>150</v>
      </c>
      <c r="D1008" s="4">
        <v>20312966</v>
      </c>
      <c r="E1008" s="3" t="s">
        <v>258</v>
      </c>
      <c r="F1008" s="4">
        <v>3</v>
      </c>
      <c r="G1008" s="5">
        <v>159.5</v>
      </c>
      <c r="H1008" s="5">
        <f t="shared" si="15"/>
        <v>478.5</v>
      </c>
    </row>
    <row r="1009" customFormat="1" hidden="1" spans="1:8">
      <c r="A1009" s="2">
        <v>46168</v>
      </c>
      <c r="B1009" s="3">
        <v>1606473</v>
      </c>
      <c r="C1009" s="3" t="s">
        <v>150</v>
      </c>
      <c r="D1009" s="4">
        <v>20312965</v>
      </c>
      <c r="E1009" s="3" t="s">
        <v>112</v>
      </c>
      <c r="F1009" s="4">
        <v>2</v>
      </c>
      <c r="G1009" s="5">
        <v>137.5</v>
      </c>
      <c r="H1009" s="5">
        <f t="shared" si="15"/>
        <v>275</v>
      </c>
    </row>
    <row r="1010" customFormat="1" hidden="1" spans="1:8">
      <c r="A1010" s="2">
        <v>46168</v>
      </c>
      <c r="B1010" s="3">
        <v>1606473</v>
      </c>
      <c r="C1010" s="3" t="s">
        <v>150</v>
      </c>
      <c r="D1010" s="4">
        <v>20312968</v>
      </c>
      <c r="E1010" s="3" t="s">
        <v>276</v>
      </c>
      <c r="F1010" s="4">
        <v>1</v>
      </c>
      <c r="G1010" s="5">
        <v>187</v>
      </c>
      <c r="H1010" s="5">
        <f t="shared" si="15"/>
        <v>187</v>
      </c>
    </row>
    <row r="1011" customFormat="1" hidden="1" spans="1:8">
      <c r="A1011" s="2">
        <v>46168</v>
      </c>
      <c r="B1011" s="3">
        <v>1606473</v>
      </c>
      <c r="C1011" s="3" t="s">
        <v>150</v>
      </c>
      <c r="D1011" s="4">
        <v>20312967</v>
      </c>
      <c r="E1011" s="3" t="s">
        <v>289</v>
      </c>
      <c r="F1011" s="4">
        <v>5</v>
      </c>
      <c r="G1011" s="5">
        <v>176</v>
      </c>
      <c r="H1011" s="5">
        <f t="shared" si="15"/>
        <v>880</v>
      </c>
    </row>
    <row r="1012" customFormat="1" hidden="1" spans="1:8">
      <c r="A1012" s="2">
        <v>46168</v>
      </c>
      <c r="B1012" s="3">
        <v>1606473</v>
      </c>
      <c r="C1012" s="3" t="s">
        <v>151</v>
      </c>
      <c r="D1012" s="4">
        <v>20318363</v>
      </c>
      <c r="E1012" s="3" t="s">
        <v>94</v>
      </c>
      <c r="F1012" s="4">
        <v>2</v>
      </c>
      <c r="G1012" s="5">
        <v>8</v>
      </c>
      <c r="H1012" s="5">
        <f t="shared" si="15"/>
        <v>16</v>
      </c>
    </row>
    <row r="1013" customFormat="1" hidden="1" spans="1:8">
      <c r="A1013" s="2">
        <v>46168</v>
      </c>
      <c r="B1013" s="3">
        <v>1606473</v>
      </c>
      <c r="C1013" s="3" t="s">
        <v>151</v>
      </c>
      <c r="D1013" s="4">
        <v>20340288</v>
      </c>
      <c r="E1013" s="3" t="s">
        <v>282</v>
      </c>
      <c r="F1013" s="4">
        <v>1</v>
      </c>
      <c r="G1013" s="5">
        <v>22</v>
      </c>
      <c r="H1013" s="5">
        <f t="shared" si="15"/>
        <v>22</v>
      </c>
    </row>
    <row r="1014" customFormat="1" hidden="1" spans="1:8">
      <c r="A1014" s="2">
        <v>46168</v>
      </c>
      <c r="B1014" s="3">
        <v>1606473</v>
      </c>
      <c r="C1014" s="3" t="s">
        <v>153</v>
      </c>
      <c r="D1014" s="4">
        <v>20318347</v>
      </c>
      <c r="E1014" s="3" t="s">
        <v>230</v>
      </c>
      <c r="F1014" s="4">
        <v>1</v>
      </c>
      <c r="G1014" s="5">
        <v>16.5</v>
      </c>
      <c r="H1014" s="5">
        <f t="shared" si="15"/>
        <v>16.5</v>
      </c>
    </row>
    <row r="1015" customFormat="1" hidden="1" spans="1:8">
      <c r="A1015" s="2">
        <v>46168</v>
      </c>
      <c r="B1015" s="3">
        <v>1606473</v>
      </c>
      <c r="C1015" s="3" t="s">
        <v>153</v>
      </c>
      <c r="D1015" s="4">
        <v>20318340</v>
      </c>
      <c r="E1015" s="3" t="s">
        <v>240</v>
      </c>
      <c r="F1015" s="4">
        <v>1</v>
      </c>
      <c r="G1015" s="5">
        <v>16.5</v>
      </c>
      <c r="H1015" s="5">
        <f t="shared" si="15"/>
        <v>16.5</v>
      </c>
    </row>
    <row r="1016" customFormat="1" hidden="1" spans="1:8">
      <c r="A1016" s="2">
        <v>46168</v>
      </c>
      <c r="B1016" s="3">
        <v>1606473</v>
      </c>
      <c r="C1016" s="3" t="s">
        <v>153</v>
      </c>
      <c r="D1016" s="4">
        <v>20383164</v>
      </c>
      <c r="E1016" s="3" t="s">
        <v>273</v>
      </c>
      <c r="F1016" s="4">
        <v>1</v>
      </c>
      <c r="G1016" s="5">
        <v>22</v>
      </c>
      <c r="H1016" s="5">
        <f t="shared" si="15"/>
        <v>22</v>
      </c>
    </row>
    <row r="1017" customFormat="1" hidden="1" spans="1:8">
      <c r="A1017" s="2">
        <v>46168</v>
      </c>
      <c r="B1017" s="3">
        <v>1606473</v>
      </c>
      <c r="C1017" s="3" t="s">
        <v>153</v>
      </c>
      <c r="D1017" s="4">
        <v>20318336</v>
      </c>
      <c r="E1017" s="3" t="s">
        <v>303</v>
      </c>
      <c r="F1017" s="4">
        <v>3</v>
      </c>
      <c r="G1017" s="5">
        <v>16.5</v>
      </c>
      <c r="H1017" s="5">
        <f t="shared" si="15"/>
        <v>49.5</v>
      </c>
    </row>
    <row r="1018" customFormat="1" hidden="1" spans="1:8">
      <c r="A1018" s="2">
        <v>46168</v>
      </c>
      <c r="B1018" s="3">
        <v>1606480</v>
      </c>
      <c r="C1018" s="3" t="s">
        <v>150</v>
      </c>
      <c r="D1018" s="4">
        <v>20321476</v>
      </c>
      <c r="E1018" s="3" t="s">
        <v>161</v>
      </c>
      <c r="F1018" s="4">
        <v>1</v>
      </c>
      <c r="G1018" s="5">
        <v>55</v>
      </c>
      <c r="H1018" s="5">
        <f t="shared" si="15"/>
        <v>55</v>
      </c>
    </row>
    <row r="1019" customFormat="1" hidden="1" spans="1:8">
      <c r="A1019" s="2">
        <v>46168</v>
      </c>
      <c r="B1019" s="3">
        <v>1606480</v>
      </c>
      <c r="C1019" s="3" t="s">
        <v>153</v>
      </c>
      <c r="D1019" s="4">
        <v>20318397</v>
      </c>
      <c r="E1019" s="3" t="s">
        <v>222</v>
      </c>
      <c r="F1019" s="4">
        <v>1</v>
      </c>
      <c r="G1019" s="5">
        <v>16.5</v>
      </c>
      <c r="H1019" s="5">
        <f t="shared" si="15"/>
        <v>16.5</v>
      </c>
    </row>
    <row r="1020" customFormat="1" hidden="1" spans="1:8">
      <c r="A1020" s="2">
        <v>46168</v>
      </c>
      <c r="B1020" s="3">
        <v>1606480</v>
      </c>
      <c r="C1020" s="3" t="s">
        <v>153</v>
      </c>
      <c r="D1020" s="4">
        <v>20365759</v>
      </c>
      <c r="E1020" s="3" t="s">
        <v>229</v>
      </c>
      <c r="F1020" s="4">
        <v>1</v>
      </c>
      <c r="G1020" s="5">
        <v>22</v>
      </c>
      <c r="H1020" s="5">
        <f t="shared" si="15"/>
        <v>22</v>
      </c>
    </row>
    <row r="1021" customFormat="1" hidden="1" spans="1:8">
      <c r="A1021" s="2">
        <v>46168</v>
      </c>
      <c r="B1021" s="3">
        <v>1606508</v>
      </c>
      <c r="C1021" s="3" t="s">
        <v>150</v>
      </c>
      <c r="D1021" s="4">
        <v>20312966</v>
      </c>
      <c r="E1021" s="3" t="s">
        <v>258</v>
      </c>
      <c r="F1021" s="4">
        <v>2</v>
      </c>
      <c r="G1021" s="5">
        <v>159.5</v>
      </c>
      <c r="H1021" s="5">
        <f t="shared" si="15"/>
        <v>319</v>
      </c>
    </row>
    <row r="1022" customFormat="1" hidden="1" spans="1:8">
      <c r="A1022" s="2">
        <v>46168</v>
      </c>
      <c r="B1022" s="3">
        <v>1606508</v>
      </c>
      <c r="C1022" s="3" t="s">
        <v>150</v>
      </c>
      <c r="D1022" s="4">
        <v>20312965</v>
      </c>
      <c r="E1022" s="3" t="s">
        <v>112</v>
      </c>
      <c r="F1022" s="4">
        <v>1</v>
      </c>
      <c r="G1022" s="5">
        <v>137.5</v>
      </c>
      <c r="H1022" s="5">
        <f t="shared" si="15"/>
        <v>137.5</v>
      </c>
    </row>
    <row r="1023" customFormat="1" hidden="1" spans="1:8">
      <c r="A1023" s="2">
        <v>46168</v>
      </c>
      <c r="B1023" s="3">
        <v>1606508</v>
      </c>
      <c r="C1023" s="3" t="s">
        <v>150</v>
      </c>
      <c r="D1023" s="4">
        <v>20312967</v>
      </c>
      <c r="E1023" s="3" t="s">
        <v>289</v>
      </c>
      <c r="F1023" s="4">
        <v>1</v>
      </c>
      <c r="G1023" s="5">
        <v>176</v>
      </c>
      <c r="H1023" s="5">
        <f t="shared" si="15"/>
        <v>176</v>
      </c>
    </row>
    <row r="1024" customFormat="1" hidden="1" spans="1:8">
      <c r="A1024" s="2">
        <v>46168</v>
      </c>
      <c r="B1024" s="3">
        <v>1606508</v>
      </c>
      <c r="C1024" s="3" t="s">
        <v>151</v>
      </c>
      <c r="D1024" s="4">
        <v>20410296</v>
      </c>
      <c r="E1024" s="3" t="s">
        <v>188</v>
      </c>
      <c r="F1024" s="4">
        <v>1</v>
      </c>
      <c r="G1024" s="5">
        <v>16.5</v>
      </c>
      <c r="H1024" s="5">
        <f t="shared" si="15"/>
        <v>16.5</v>
      </c>
    </row>
    <row r="1025" customFormat="1" hidden="1" spans="1:8">
      <c r="A1025" s="2">
        <v>46168</v>
      </c>
      <c r="B1025" s="3">
        <v>1606508</v>
      </c>
      <c r="C1025" s="3" t="s">
        <v>156</v>
      </c>
      <c r="D1025" s="4">
        <v>20322235</v>
      </c>
      <c r="E1025" s="3" t="s">
        <v>111</v>
      </c>
      <c r="F1025" s="4">
        <v>13</v>
      </c>
      <c r="G1025" s="5">
        <v>2.5</v>
      </c>
      <c r="H1025" s="5">
        <f t="shared" si="15"/>
        <v>32.5</v>
      </c>
    </row>
    <row r="1026" customFormat="1" hidden="1" spans="1:8">
      <c r="A1026" s="2">
        <v>46168</v>
      </c>
      <c r="B1026" s="3">
        <v>1606508</v>
      </c>
      <c r="C1026" s="3" t="s">
        <v>156</v>
      </c>
      <c r="D1026" s="4">
        <v>20322243</v>
      </c>
      <c r="E1026" s="3" t="s">
        <v>117</v>
      </c>
      <c r="F1026" s="4">
        <v>1</v>
      </c>
      <c r="G1026" s="5">
        <v>30</v>
      </c>
      <c r="H1026" s="5">
        <f t="shared" ref="H1026:H1089" si="16">G1026*F1026</f>
        <v>30</v>
      </c>
    </row>
    <row r="1027" customFormat="1" hidden="1" spans="1:8">
      <c r="A1027" s="2">
        <v>46168</v>
      </c>
      <c r="B1027" s="3">
        <v>1606508</v>
      </c>
      <c r="C1027" s="3" t="s">
        <v>156</v>
      </c>
      <c r="D1027" s="4">
        <v>20322234</v>
      </c>
      <c r="E1027" s="3" t="s">
        <v>274</v>
      </c>
      <c r="F1027" s="4">
        <v>4</v>
      </c>
      <c r="G1027" s="5">
        <v>2.5</v>
      </c>
      <c r="H1027" s="5">
        <f t="shared" si="16"/>
        <v>10</v>
      </c>
    </row>
    <row r="1028" customFormat="1" hidden="1" spans="1:8">
      <c r="A1028" s="2">
        <v>46168</v>
      </c>
      <c r="B1028" s="3">
        <v>1606508</v>
      </c>
      <c r="C1028" s="3" t="s">
        <v>156</v>
      </c>
      <c r="D1028" s="4">
        <v>20330757</v>
      </c>
      <c r="E1028" s="3" t="s">
        <v>288</v>
      </c>
      <c r="F1028" s="4">
        <v>3</v>
      </c>
      <c r="G1028" s="5">
        <v>35</v>
      </c>
      <c r="H1028" s="5">
        <f t="shared" si="16"/>
        <v>105</v>
      </c>
    </row>
    <row r="1029" customFormat="1" hidden="1" spans="1:8">
      <c r="A1029" s="2">
        <v>46168</v>
      </c>
      <c r="B1029" s="3">
        <v>1606508</v>
      </c>
      <c r="C1029" s="3" t="s">
        <v>152</v>
      </c>
      <c r="D1029" s="4">
        <v>20340286</v>
      </c>
      <c r="E1029" s="3" t="s">
        <v>169</v>
      </c>
      <c r="F1029" s="4">
        <v>1</v>
      </c>
      <c r="G1029" s="5">
        <v>55</v>
      </c>
      <c r="H1029" s="5">
        <f t="shared" si="16"/>
        <v>55</v>
      </c>
    </row>
    <row r="1030" customFormat="1" hidden="1" spans="1:8">
      <c r="A1030" s="2">
        <v>46168</v>
      </c>
      <c r="B1030" s="3">
        <v>1606508</v>
      </c>
      <c r="C1030" s="3" t="s">
        <v>153</v>
      </c>
      <c r="D1030" s="4">
        <v>20407575</v>
      </c>
      <c r="E1030" s="3" t="s">
        <v>284</v>
      </c>
      <c r="F1030" s="4">
        <v>1</v>
      </c>
      <c r="G1030" s="5">
        <v>16.5</v>
      </c>
      <c r="H1030" s="5">
        <f t="shared" si="16"/>
        <v>16.5</v>
      </c>
    </row>
    <row r="1031" customFormat="1" hidden="1" spans="1:8">
      <c r="A1031" s="2">
        <v>46168</v>
      </c>
      <c r="B1031" s="3">
        <v>1606545</v>
      </c>
      <c r="C1031" s="3" t="s">
        <v>152</v>
      </c>
      <c r="D1031" s="4">
        <v>20366063</v>
      </c>
      <c r="E1031" s="3" t="s">
        <v>193</v>
      </c>
      <c r="F1031" s="4">
        <v>1</v>
      </c>
      <c r="G1031" s="5">
        <v>66</v>
      </c>
      <c r="H1031" s="5">
        <f t="shared" si="16"/>
        <v>66</v>
      </c>
    </row>
    <row r="1032" customFormat="1" hidden="1" spans="1:8">
      <c r="A1032" s="2">
        <v>46168</v>
      </c>
      <c r="B1032" s="3">
        <v>1606545</v>
      </c>
      <c r="C1032" s="3" t="s">
        <v>153</v>
      </c>
      <c r="D1032" s="4">
        <v>20382903</v>
      </c>
      <c r="E1032" s="3" t="s">
        <v>255</v>
      </c>
      <c r="F1032" s="4">
        <v>1</v>
      </c>
      <c r="G1032" s="5">
        <v>77</v>
      </c>
      <c r="H1032" s="5">
        <f t="shared" si="16"/>
        <v>77</v>
      </c>
    </row>
    <row r="1033" customFormat="1" hidden="1" spans="1:8">
      <c r="A1033" s="2">
        <v>46168</v>
      </c>
      <c r="B1033" s="3">
        <v>1606554</v>
      </c>
      <c r="C1033" s="3" t="s">
        <v>150</v>
      </c>
      <c r="D1033" s="4">
        <v>20312966</v>
      </c>
      <c r="E1033" s="3" t="s">
        <v>258</v>
      </c>
      <c r="F1033" s="4">
        <v>5</v>
      </c>
      <c r="G1033" s="5">
        <v>159.5</v>
      </c>
      <c r="H1033" s="5">
        <f t="shared" si="16"/>
        <v>797.5</v>
      </c>
    </row>
    <row r="1034" customFormat="1" hidden="1" spans="1:8">
      <c r="A1034" s="2">
        <v>46168</v>
      </c>
      <c r="B1034" s="3">
        <v>1606554</v>
      </c>
      <c r="C1034" s="3" t="s">
        <v>150</v>
      </c>
      <c r="D1034" s="4">
        <v>20312965</v>
      </c>
      <c r="E1034" s="3" t="s">
        <v>112</v>
      </c>
      <c r="F1034" s="4">
        <v>4</v>
      </c>
      <c r="G1034" s="5">
        <v>137.5</v>
      </c>
      <c r="H1034" s="5">
        <f t="shared" si="16"/>
        <v>550</v>
      </c>
    </row>
    <row r="1035" customFormat="1" hidden="1" spans="1:8">
      <c r="A1035" s="2">
        <v>46168</v>
      </c>
      <c r="B1035" s="3">
        <v>1606554</v>
      </c>
      <c r="C1035" s="3" t="s">
        <v>150</v>
      </c>
      <c r="D1035" s="4">
        <v>20312967</v>
      </c>
      <c r="E1035" s="3" t="s">
        <v>289</v>
      </c>
      <c r="F1035" s="4">
        <v>8</v>
      </c>
      <c r="G1035" s="5">
        <v>176</v>
      </c>
      <c r="H1035" s="5">
        <f t="shared" si="16"/>
        <v>1408</v>
      </c>
    </row>
    <row r="1036" customFormat="1" hidden="1" spans="1:8">
      <c r="A1036" s="2">
        <v>46168</v>
      </c>
      <c r="B1036" s="3">
        <v>1606554</v>
      </c>
      <c r="C1036" s="3" t="s">
        <v>152</v>
      </c>
      <c r="D1036" s="4">
        <v>20340286</v>
      </c>
      <c r="E1036" s="3" t="s">
        <v>169</v>
      </c>
      <c r="F1036" s="4">
        <v>1</v>
      </c>
      <c r="G1036" s="5">
        <v>55</v>
      </c>
      <c r="H1036" s="5">
        <f t="shared" si="16"/>
        <v>55</v>
      </c>
    </row>
    <row r="1037" customFormat="1" hidden="1" spans="1:8">
      <c r="A1037" s="2">
        <v>46168</v>
      </c>
      <c r="B1037" s="3">
        <v>1606554</v>
      </c>
      <c r="C1037" s="3" t="s">
        <v>152</v>
      </c>
      <c r="D1037" s="4">
        <v>20366064</v>
      </c>
      <c r="E1037" s="3" t="s">
        <v>195</v>
      </c>
      <c r="F1037" s="4">
        <v>1</v>
      </c>
      <c r="G1037" s="5">
        <v>71.5</v>
      </c>
      <c r="H1037" s="5">
        <f t="shared" si="16"/>
        <v>71.5</v>
      </c>
    </row>
    <row r="1038" customFormat="1" ht="25.5" hidden="1" spans="1:8">
      <c r="A1038" s="2">
        <v>46168</v>
      </c>
      <c r="B1038" s="3">
        <v>1606554</v>
      </c>
      <c r="C1038" s="3" t="s">
        <v>152</v>
      </c>
      <c r="D1038" s="4">
        <v>20395243</v>
      </c>
      <c r="E1038" s="3" t="s">
        <v>212</v>
      </c>
      <c r="F1038" s="4">
        <v>1</v>
      </c>
      <c r="G1038" s="5">
        <v>357.5</v>
      </c>
      <c r="H1038" s="5">
        <f t="shared" si="16"/>
        <v>357.5</v>
      </c>
    </row>
    <row r="1039" customFormat="1" hidden="1" spans="1:8">
      <c r="A1039" s="2">
        <v>46168</v>
      </c>
      <c r="B1039" s="3">
        <v>1606554</v>
      </c>
      <c r="C1039" s="3" t="s">
        <v>153</v>
      </c>
      <c r="D1039" s="4">
        <v>20318378</v>
      </c>
      <c r="E1039" s="3" t="s">
        <v>231</v>
      </c>
      <c r="F1039" s="4">
        <v>1</v>
      </c>
      <c r="G1039" s="5">
        <v>16.5</v>
      </c>
      <c r="H1039" s="5">
        <f t="shared" si="16"/>
        <v>16.5</v>
      </c>
    </row>
    <row r="1040" customFormat="1" hidden="1" spans="1:8">
      <c r="A1040" s="2">
        <v>46168</v>
      </c>
      <c r="B1040" s="3">
        <v>1606554</v>
      </c>
      <c r="C1040" s="3" t="s">
        <v>153</v>
      </c>
      <c r="D1040" s="4">
        <v>20318340</v>
      </c>
      <c r="E1040" s="3" t="s">
        <v>240</v>
      </c>
      <c r="F1040" s="4">
        <v>2</v>
      </c>
      <c r="G1040" s="5">
        <v>16.5</v>
      </c>
      <c r="H1040" s="5">
        <f t="shared" si="16"/>
        <v>33</v>
      </c>
    </row>
    <row r="1041" customFormat="1" hidden="1" spans="1:8">
      <c r="A1041" s="2">
        <v>46168</v>
      </c>
      <c r="B1041" s="3">
        <v>1606554</v>
      </c>
      <c r="C1041" s="3" t="s">
        <v>153</v>
      </c>
      <c r="D1041" s="4">
        <v>20321250</v>
      </c>
      <c r="E1041" s="3" t="s">
        <v>259</v>
      </c>
      <c r="F1041" s="4">
        <v>3</v>
      </c>
      <c r="G1041" s="5">
        <v>16.5</v>
      </c>
      <c r="H1041" s="5">
        <f t="shared" si="16"/>
        <v>49.5</v>
      </c>
    </row>
    <row r="1042" customFormat="1" hidden="1" spans="1:8">
      <c r="A1042" s="2">
        <v>46168</v>
      </c>
      <c r="B1042" s="3">
        <v>1606554</v>
      </c>
      <c r="C1042" s="3" t="s">
        <v>153</v>
      </c>
      <c r="D1042" s="4">
        <v>20340289</v>
      </c>
      <c r="E1042" s="3" t="s">
        <v>272</v>
      </c>
      <c r="F1042" s="4">
        <v>1</v>
      </c>
      <c r="G1042" s="5">
        <v>16.5</v>
      </c>
      <c r="H1042" s="5">
        <f t="shared" si="16"/>
        <v>16.5</v>
      </c>
    </row>
    <row r="1043" customFormat="1" hidden="1" spans="1:8">
      <c r="A1043" s="2">
        <v>46168</v>
      </c>
      <c r="B1043" s="3">
        <v>1606554</v>
      </c>
      <c r="C1043" s="3" t="s">
        <v>153</v>
      </c>
      <c r="D1043" s="4">
        <v>20383164</v>
      </c>
      <c r="E1043" s="3" t="s">
        <v>273</v>
      </c>
      <c r="F1043" s="4">
        <v>2</v>
      </c>
      <c r="G1043" s="5">
        <v>22</v>
      </c>
      <c r="H1043" s="5">
        <f t="shared" si="16"/>
        <v>44</v>
      </c>
    </row>
    <row r="1044" customFormat="1" hidden="1" spans="1:8">
      <c r="A1044" s="2">
        <v>46168</v>
      </c>
      <c r="B1044" s="3">
        <v>1606554</v>
      </c>
      <c r="C1044" s="3" t="s">
        <v>153</v>
      </c>
      <c r="D1044" s="4">
        <v>20318389</v>
      </c>
      <c r="E1044" s="3" t="s">
        <v>302</v>
      </c>
      <c r="F1044" s="4">
        <v>1</v>
      </c>
      <c r="G1044" s="5">
        <v>16.5</v>
      </c>
      <c r="H1044" s="5">
        <f t="shared" si="16"/>
        <v>16.5</v>
      </c>
    </row>
    <row r="1045" customFormat="1" hidden="1" spans="1:8">
      <c r="A1045" s="2">
        <v>46168</v>
      </c>
      <c r="B1045" s="3">
        <v>1606554</v>
      </c>
      <c r="C1045" s="3" t="s">
        <v>153</v>
      </c>
      <c r="D1045" s="4">
        <v>20318336</v>
      </c>
      <c r="E1045" s="3" t="s">
        <v>303</v>
      </c>
      <c r="F1045" s="4">
        <v>1</v>
      </c>
      <c r="G1045" s="5">
        <v>16.5</v>
      </c>
      <c r="H1045" s="5">
        <f t="shared" si="16"/>
        <v>16.5</v>
      </c>
    </row>
    <row r="1046" customFormat="1" hidden="1" spans="1:8">
      <c r="A1046" s="2">
        <v>46168</v>
      </c>
      <c r="B1046" s="3">
        <v>1606566</v>
      </c>
      <c r="C1046" s="3" t="s">
        <v>150</v>
      </c>
      <c r="D1046" s="4">
        <v>20321252</v>
      </c>
      <c r="E1046" s="3" t="s">
        <v>162</v>
      </c>
      <c r="F1046" s="4">
        <v>1</v>
      </c>
      <c r="G1046" s="5">
        <v>49.5</v>
      </c>
      <c r="H1046" s="5">
        <f t="shared" si="16"/>
        <v>49.5</v>
      </c>
    </row>
    <row r="1047" customFormat="1" hidden="1" spans="1:8">
      <c r="A1047" s="2">
        <v>46168</v>
      </c>
      <c r="B1047" s="3">
        <v>1606566</v>
      </c>
      <c r="C1047" s="3" t="s">
        <v>150</v>
      </c>
      <c r="D1047" s="4">
        <v>20312966</v>
      </c>
      <c r="E1047" s="3" t="s">
        <v>258</v>
      </c>
      <c r="F1047" s="4">
        <v>4</v>
      </c>
      <c r="G1047" s="5">
        <v>159.5</v>
      </c>
      <c r="H1047" s="5">
        <f t="shared" si="16"/>
        <v>638</v>
      </c>
    </row>
    <row r="1048" customFormat="1" hidden="1" spans="1:8">
      <c r="A1048" s="2">
        <v>46168</v>
      </c>
      <c r="B1048" s="3">
        <v>1606566</v>
      </c>
      <c r="C1048" s="3" t="s">
        <v>150</v>
      </c>
      <c r="D1048" s="4">
        <v>20327194</v>
      </c>
      <c r="E1048" s="3" t="s">
        <v>265</v>
      </c>
      <c r="F1048" s="4">
        <v>1</v>
      </c>
      <c r="G1048" s="5">
        <v>27.5</v>
      </c>
      <c r="H1048" s="5">
        <f t="shared" si="16"/>
        <v>27.5</v>
      </c>
    </row>
    <row r="1049" customFormat="1" hidden="1" spans="1:8">
      <c r="A1049" s="2">
        <v>46168</v>
      </c>
      <c r="B1049" s="3">
        <v>1606566</v>
      </c>
      <c r="C1049" s="3" t="s">
        <v>150</v>
      </c>
      <c r="D1049" s="4">
        <v>20312965</v>
      </c>
      <c r="E1049" s="3" t="s">
        <v>112</v>
      </c>
      <c r="F1049" s="4">
        <v>5</v>
      </c>
      <c r="G1049" s="5">
        <v>137.5</v>
      </c>
      <c r="H1049" s="5">
        <f t="shared" si="16"/>
        <v>687.5</v>
      </c>
    </row>
    <row r="1050" customFormat="1" hidden="1" spans="1:8">
      <c r="A1050" s="2">
        <v>46168</v>
      </c>
      <c r="B1050" s="3">
        <v>1606566</v>
      </c>
      <c r="C1050" s="3" t="s">
        <v>150</v>
      </c>
      <c r="D1050" s="4">
        <v>20312967</v>
      </c>
      <c r="E1050" s="3" t="s">
        <v>289</v>
      </c>
      <c r="F1050" s="4">
        <v>3</v>
      </c>
      <c r="G1050" s="5">
        <v>176</v>
      </c>
      <c r="H1050" s="5">
        <f t="shared" si="16"/>
        <v>528</v>
      </c>
    </row>
    <row r="1051" customFormat="1" hidden="1" spans="1:8">
      <c r="A1051" s="2">
        <v>46168</v>
      </c>
      <c r="B1051" s="3">
        <v>1606566</v>
      </c>
      <c r="C1051" s="3" t="s">
        <v>150</v>
      </c>
      <c r="D1051" s="4">
        <v>20424417</v>
      </c>
      <c r="E1051" s="3" t="s">
        <v>312</v>
      </c>
      <c r="F1051" s="4">
        <v>1</v>
      </c>
      <c r="G1051" s="5">
        <v>66</v>
      </c>
      <c r="H1051" s="5">
        <f t="shared" si="16"/>
        <v>66</v>
      </c>
    </row>
    <row r="1052" customFormat="1" hidden="1" spans="1:8">
      <c r="A1052" s="2">
        <v>46168</v>
      </c>
      <c r="B1052" s="3">
        <v>1606566</v>
      </c>
      <c r="C1052" s="3" t="s">
        <v>156</v>
      </c>
      <c r="D1052" s="4">
        <v>20330757</v>
      </c>
      <c r="E1052" s="3" t="s">
        <v>288</v>
      </c>
      <c r="F1052" s="4">
        <v>3</v>
      </c>
      <c r="G1052" s="5">
        <v>35</v>
      </c>
      <c r="H1052" s="5">
        <f t="shared" si="16"/>
        <v>105</v>
      </c>
    </row>
    <row r="1053" customFormat="1" hidden="1" spans="1:8">
      <c r="A1053" s="2">
        <v>46168</v>
      </c>
      <c r="B1053" s="3">
        <v>1606566</v>
      </c>
      <c r="C1053" s="3" t="s">
        <v>152</v>
      </c>
      <c r="D1053" s="4">
        <v>20340286</v>
      </c>
      <c r="E1053" s="3" t="s">
        <v>169</v>
      </c>
      <c r="F1053" s="4">
        <v>1</v>
      </c>
      <c r="G1053" s="5">
        <v>55</v>
      </c>
      <c r="H1053" s="5">
        <f t="shared" si="16"/>
        <v>55</v>
      </c>
    </row>
    <row r="1054" customFormat="1" hidden="1" spans="1:8">
      <c r="A1054" s="2">
        <v>46168</v>
      </c>
      <c r="B1054" s="3">
        <v>1606566</v>
      </c>
      <c r="C1054" s="3" t="s">
        <v>153</v>
      </c>
      <c r="D1054" s="4">
        <v>20321257</v>
      </c>
      <c r="E1054" s="3" t="s">
        <v>68</v>
      </c>
      <c r="F1054" s="4">
        <v>3</v>
      </c>
      <c r="G1054" s="5">
        <v>16.5</v>
      </c>
      <c r="H1054" s="5">
        <f t="shared" si="16"/>
        <v>49.5</v>
      </c>
    </row>
    <row r="1055" customFormat="1" hidden="1" spans="1:8">
      <c r="A1055" s="2">
        <v>46168</v>
      </c>
      <c r="B1055" s="3">
        <v>1606566</v>
      </c>
      <c r="C1055" s="3" t="s">
        <v>153</v>
      </c>
      <c r="D1055" s="4">
        <v>20318334</v>
      </c>
      <c r="E1055" s="3" t="s">
        <v>186</v>
      </c>
      <c r="F1055" s="4">
        <v>1</v>
      </c>
      <c r="G1055" s="5">
        <v>16.5</v>
      </c>
      <c r="H1055" s="5">
        <f t="shared" si="16"/>
        <v>16.5</v>
      </c>
    </row>
    <row r="1056" customFormat="1" hidden="1" spans="1:8">
      <c r="A1056" s="2">
        <v>46168</v>
      </c>
      <c r="B1056" s="3">
        <v>1606566</v>
      </c>
      <c r="C1056" s="3" t="s">
        <v>153</v>
      </c>
      <c r="D1056" s="4">
        <v>20014824</v>
      </c>
      <c r="E1056" s="3" t="s">
        <v>85</v>
      </c>
      <c r="F1056" s="4">
        <v>1</v>
      </c>
      <c r="G1056" s="5">
        <v>16.5</v>
      </c>
      <c r="H1056" s="5">
        <f t="shared" si="16"/>
        <v>16.5</v>
      </c>
    </row>
    <row r="1057" customFormat="1" hidden="1" spans="1:8">
      <c r="A1057" s="2">
        <v>46168</v>
      </c>
      <c r="B1057" s="3">
        <v>1606566</v>
      </c>
      <c r="C1057" s="3" t="s">
        <v>153</v>
      </c>
      <c r="D1057" s="4">
        <v>20318378</v>
      </c>
      <c r="E1057" s="3" t="s">
        <v>231</v>
      </c>
      <c r="F1057" s="4">
        <v>1</v>
      </c>
      <c r="G1057" s="5">
        <v>16.5</v>
      </c>
      <c r="H1057" s="5">
        <f t="shared" si="16"/>
        <v>16.5</v>
      </c>
    </row>
    <row r="1058" customFormat="1" hidden="1" spans="1:8">
      <c r="A1058" s="2">
        <v>46168</v>
      </c>
      <c r="B1058" s="3">
        <v>1606566</v>
      </c>
      <c r="C1058" s="3" t="s">
        <v>153</v>
      </c>
      <c r="D1058" s="4">
        <v>20321250</v>
      </c>
      <c r="E1058" s="3" t="s">
        <v>259</v>
      </c>
      <c r="F1058" s="4">
        <v>1</v>
      </c>
      <c r="G1058" s="5">
        <v>16.5</v>
      </c>
      <c r="H1058" s="5">
        <f t="shared" si="16"/>
        <v>16.5</v>
      </c>
    </row>
    <row r="1059" customFormat="1" hidden="1" spans="1:8">
      <c r="A1059" s="2">
        <v>46168</v>
      </c>
      <c r="B1059" s="3">
        <v>1606566</v>
      </c>
      <c r="C1059" s="3" t="s">
        <v>153</v>
      </c>
      <c r="D1059" s="4">
        <v>20340289</v>
      </c>
      <c r="E1059" s="3" t="s">
        <v>272</v>
      </c>
      <c r="F1059" s="4">
        <v>1</v>
      </c>
      <c r="G1059" s="5">
        <v>16.5</v>
      </c>
      <c r="H1059" s="5">
        <f t="shared" si="16"/>
        <v>16.5</v>
      </c>
    </row>
    <row r="1060" customFormat="1" hidden="1" spans="1:8">
      <c r="A1060" s="2">
        <v>46168</v>
      </c>
      <c r="B1060" s="3">
        <v>1606566</v>
      </c>
      <c r="C1060" s="3" t="s">
        <v>153</v>
      </c>
      <c r="D1060" s="4">
        <v>20318336</v>
      </c>
      <c r="E1060" s="3" t="s">
        <v>303</v>
      </c>
      <c r="F1060" s="4">
        <v>1</v>
      </c>
      <c r="G1060" s="5">
        <v>16.5</v>
      </c>
      <c r="H1060" s="5">
        <f t="shared" si="16"/>
        <v>16.5</v>
      </c>
    </row>
    <row r="1061" customFormat="1" hidden="1" spans="1:8">
      <c r="A1061" s="2">
        <v>46168</v>
      </c>
      <c r="B1061" s="3">
        <v>1606566</v>
      </c>
      <c r="C1061" s="3" t="s">
        <v>153</v>
      </c>
      <c r="D1061" s="4">
        <v>20318342</v>
      </c>
      <c r="E1061" s="3" t="s">
        <v>304</v>
      </c>
      <c r="F1061" s="4">
        <v>1</v>
      </c>
      <c r="G1061" s="5">
        <v>16.5</v>
      </c>
      <c r="H1061" s="5">
        <f t="shared" si="16"/>
        <v>16.5</v>
      </c>
    </row>
    <row r="1062" customFormat="1" hidden="1" spans="1:8">
      <c r="A1062" s="2">
        <v>46169</v>
      </c>
      <c r="B1062" s="3">
        <v>1606765</v>
      </c>
      <c r="C1062" s="3" t="s">
        <v>150</v>
      </c>
      <c r="D1062" s="4">
        <v>20321476</v>
      </c>
      <c r="E1062" s="3" t="s">
        <v>161</v>
      </c>
      <c r="F1062" s="4">
        <v>1</v>
      </c>
      <c r="G1062" s="5">
        <v>55</v>
      </c>
      <c r="H1062" s="5">
        <f t="shared" si="16"/>
        <v>55</v>
      </c>
    </row>
    <row r="1063" customFormat="1" hidden="1" spans="1:8">
      <c r="A1063" s="2">
        <v>46169</v>
      </c>
      <c r="B1063" s="3">
        <v>1606765</v>
      </c>
      <c r="C1063" s="3" t="s">
        <v>150</v>
      </c>
      <c r="D1063" s="4">
        <v>20321719</v>
      </c>
      <c r="E1063" s="3" t="s">
        <v>163</v>
      </c>
      <c r="F1063" s="4">
        <v>1</v>
      </c>
      <c r="G1063" s="5">
        <v>49.5</v>
      </c>
      <c r="H1063" s="5">
        <f t="shared" si="16"/>
        <v>49.5</v>
      </c>
    </row>
    <row r="1064" customFormat="1" hidden="1" spans="1:8">
      <c r="A1064" s="2">
        <v>46169</v>
      </c>
      <c r="B1064" s="3">
        <v>1606765</v>
      </c>
      <c r="C1064" s="3" t="s">
        <v>150</v>
      </c>
      <c r="D1064" s="4">
        <v>20312966</v>
      </c>
      <c r="E1064" s="3" t="s">
        <v>258</v>
      </c>
      <c r="F1064" s="4">
        <v>1</v>
      </c>
      <c r="G1064" s="5">
        <v>159.5</v>
      </c>
      <c r="H1064" s="5">
        <f t="shared" si="16"/>
        <v>159.5</v>
      </c>
    </row>
    <row r="1065" customFormat="1" hidden="1" spans="1:8">
      <c r="A1065" s="2">
        <v>46169</v>
      </c>
      <c r="B1065" s="3">
        <v>1606765</v>
      </c>
      <c r="C1065" s="3" t="s">
        <v>150</v>
      </c>
      <c r="D1065" s="4">
        <v>20312965</v>
      </c>
      <c r="E1065" s="3" t="s">
        <v>112</v>
      </c>
      <c r="F1065" s="4">
        <v>3</v>
      </c>
      <c r="G1065" s="5">
        <v>137.5</v>
      </c>
      <c r="H1065" s="5">
        <f t="shared" si="16"/>
        <v>412.5</v>
      </c>
    </row>
    <row r="1066" customFormat="1" hidden="1" spans="1:8">
      <c r="A1066" s="2">
        <v>46169</v>
      </c>
      <c r="B1066" s="3">
        <v>1606765</v>
      </c>
      <c r="C1066" s="3" t="s">
        <v>150</v>
      </c>
      <c r="D1066" s="4">
        <v>20312967</v>
      </c>
      <c r="E1066" s="3" t="s">
        <v>289</v>
      </c>
      <c r="F1066" s="4">
        <v>4</v>
      </c>
      <c r="G1066" s="5">
        <v>176</v>
      </c>
      <c r="H1066" s="5">
        <f t="shared" si="16"/>
        <v>704</v>
      </c>
    </row>
    <row r="1067" customFormat="1" hidden="1" spans="1:8">
      <c r="A1067" s="2">
        <v>46169</v>
      </c>
      <c r="B1067" s="3">
        <v>1606765</v>
      </c>
      <c r="C1067" s="3" t="s">
        <v>156</v>
      </c>
      <c r="D1067" s="4">
        <v>20322304</v>
      </c>
      <c r="E1067" s="3" t="s">
        <v>275</v>
      </c>
      <c r="F1067" s="4">
        <v>7</v>
      </c>
      <c r="G1067" s="5">
        <v>25</v>
      </c>
      <c r="H1067" s="5">
        <f t="shared" si="16"/>
        <v>175</v>
      </c>
    </row>
    <row r="1068" customFormat="1" hidden="1" spans="1:8">
      <c r="A1068" s="2">
        <v>46169</v>
      </c>
      <c r="B1068" s="3">
        <v>1606765</v>
      </c>
      <c r="C1068" s="3" t="s">
        <v>153</v>
      </c>
      <c r="D1068" s="4">
        <v>20321257</v>
      </c>
      <c r="E1068" s="3" t="s">
        <v>68</v>
      </c>
      <c r="F1068" s="4">
        <v>3</v>
      </c>
      <c r="G1068" s="5">
        <v>16.5</v>
      </c>
      <c r="H1068" s="5">
        <f t="shared" si="16"/>
        <v>49.5</v>
      </c>
    </row>
    <row r="1069" customFormat="1" hidden="1" spans="1:8">
      <c r="A1069" s="2">
        <v>46169</v>
      </c>
      <c r="B1069" s="3">
        <v>1606765</v>
      </c>
      <c r="C1069" s="3" t="s">
        <v>153</v>
      </c>
      <c r="D1069" s="4">
        <v>20343399</v>
      </c>
      <c r="E1069" s="3" t="s">
        <v>228</v>
      </c>
      <c r="F1069" s="4">
        <v>1</v>
      </c>
      <c r="G1069" s="5">
        <v>33</v>
      </c>
      <c r="H1069" s="5">
        <f t="shared" si="16"/>
        <v>33</v>
      </c>
    </row>
    <row r="1070" customFormat="1" hidden="1" spans="1:8">
      <c r="A1070" s="2">
        <v>46169</v>
      </c>
      <c r="B1070" s="3">
        <v>1606765</v>
      </c>
      <c r="C1070" s="3" t="s">
        <v>153</v>
      </c>
      <c r="D1070" s="4">
        <v>20321250</v>
      </c>
      <c r="E1070" s="3" t="s">
        <v>259</v>
      </c>
      <c r="F1070" s="4">
        <v>1</v>
      </c>
      <c r="G1070" s="5">
        <v>16.5</v>
      </c>
      <c r="H1070" s="5">
        <f t="shared" si="16"/>
        <v>16.5</v>
      </c>
    </row>
    <row r="1071" customFormat="1" hidden="1" spans="1:8">
      <c r="A1071" s="2">
        <v>46169</v>
      </c>
      <c r="B1071" s="3">
        <v>1606765</v>
      </c>
      <c r="C1071" s="3" t="s">
        <v>153</v>
      </c>
      <c r="D1071" s="4">
        <v>20340289</v>
      </c>
      <c r="E1071" s="3" t="s">
        <v>272</v>
      </c>
      <c r="F1071" s="4">
        <v>1</v>
      </c>
      <c r="G1071" s="5">
        <v>16.5</v>
      </c>
      <c r="H1071" s="5">
        <f t="shared" si="16"/>
        <v>16.5</v>
      </c>
    </row>
    <row r="1072" customFormat="1" hidden="1" spans="1:8">
      <c r="A1072" s="2">
        <v>46169</v>
      </c>
      <c r="B1072" s="3">
        <v>1606782</v>
      </c>
      <c r="C1072" s="3" t="s">
        <v>150</v>
      </c>
      <c r="D1072" s="4">
        <v>20312966</v>
      </c>
      <c r="E1072" s="3" t="s">
        <v>258</v>
      </c>
      <c r="F1072" s="4">
        <v>3</v>
      </c>
      <c r="G1072" s="5">
        <v>159.5</v>
      </c>
      <c r="H1072" s="5">
        <f t="shared" si="16"/>
        <v>478.5</v>
      </c>
    </row>
    <row r="1073" customFormat="1" hidden="1" spans="1:8">
      <c r="A1073" s="2">
        <v>46169</v>
      </c>
      <c r="B1073" s="3">
        <v>1606782</v>
      </c>
      <c r="C1073" s="3" t="s">
        <v>150</v>
      </c>
      <c r="D1073" s="4">
        <v>20312965</v>
      </c>
      <c r="E1073" s="3" t="s">
        <v>112</v>
      </c>
      <c r="F1073" s="4">
        <v>3</v>
      </c>
      <c r="G1073" s="5">
        <v>137.5</v>
      </c>
      <c r="H1073" s="5">
        <f t="shared" si="16"/>
        <v>412.5</v>
      </c>
    </row>
    <row r="1074" customFormat="1" hidden="1" spans="1:8">
      <c r="A1074" s="2">
        <v>46169</v>
      </c>
      <c r="B1074" s="3">
        <v>1606782</v>
      </c>
      <c r="C1074" s="3" t="s">
        <v>150</v>
      </c>
      <c r="D1074" s="4">
        <v>20312967</v>
      </c>
      <c r="E1074" s="3" t="s">
        <v>289</v>
      </c>
      <c r="F1074" s="4">
        <v>2</v>
      </c>
      <c r="G1074" s="5">
        <v>176</v>
      </c>
      <c r="H1074" s="5">
        <f t="shared" si="16"/>
        <v>352</v>
      </c>
    </row>
    <row r="1075" customFormat="1" hidden="1" spans="1:8">
      <c r="A1075" s="2">
        <v>46169</v>
      </c>
      <c r="B1075" s="3">
        <v>1606782</v>
      </c>
      <c r="C1075" s="3" t="s">
        <v>156</v>
      </c>
      <c r="D1075" s="4">
        <v>20322243</v>
      </c>
      <c r="E1075" s="3" t="s">
        <v>117</v>
      </c>
      <c r="F1075" s="4">
        <v>2</v>
      </c>
      <c r="G1075" s="5">
        <v>30</v>
      </c>
      <c r="H1075" s="5">
        <f t="shared" si="16"/>
        <v>60</v>
      </c>
    </row>
    <row r="1076" customFormat="1" hidden="1" spans="1:8">
      <c r="A1076" s="2">
        <v>46169</v>
      </c>
      <c r="B1076" s="3">
        <v>1606782</v>
      </c>
      <c r="C1076" s="3" t="s">
        <v>156</v>
      </c>
      <c r="D1076" s="4">
        <v>20330757</v>
      </c>
      <c r="E1076" s="3" t="s">
        <v>288</v>
      </c>
      <c r="F1076" s="4">
        <v>3</v>
      </c>
      <c r="G1076" s="5">
        <v>35</v>
      </c>
      <c r="H1076" s="5">
        <f t="shared" si="16"/>
        <v>105</v>
      </c>
    </row>
    <row r="1077" customFormat="1" hidden="1" spans="1:8">
      <c r="A1077" s="2">
        <v>46169</v>
      </c>
      <c r="B1077" s="3">
        <v>1606782</v>
      </c>
      <c r="C1077" s="3" t="s">
        <v>156</v>
      </c>
      <c r="D1077" s="4">
        <v>20402355</v>
      </c>
      <c r="E1077" s="3" t="s">
        <v>291</v>
      </c>
      <c r="F1077" s="4">
        <v>1</v>
      </c>
      <c r="G1077" s="5">
        <v>25</v>
      </c>
      <c r="H1077" s="5">
        <f t="shared" si="16"/>
        <v>25</v>
      </c>
    </row>
    <row r="1078" customFormat="1" hidden="1" spans="1:8">
      <c r="A1078" s="2">
        <v>46169</v>
      </c>
      <c r="B1078" s="3">
        <v>1606782</v>
      </c>
      <c r="C1078" s="3" t="s">
        <v>153</v>
      </c>
      <c r="D1078" s="4">
        <v>20321257</v>
      </c>
      <c r="E1078" s="3" t="s">
        <v>68</v>
      </c>
      <c r="F1078" s="4">
        <v>8</v>
      </c>
      <c r="G1078" s="5">
        <v>16.5</v>
      </c>
      <c r="H1078" s="5">
        <f t="shared" si="16"/>
        <v>132</v>
      </c>
    </row>
    <row r="1079" customFormat="1" hidden="1" spans="1:8">
      <c r="A1079" s="2">
        <v>46169</v>
      </c>
      <c r="B1079" s="3">
        <v>1606782</v>
      </c>
      <c r="C1079" s="3" t="s">
        <v>153</v>
      </c>
      <c r="D1079" s="4">
        <v>20318378</v>
      </c>
      <c r="E1079" s="3" t="s">
        <v>231</v>
      </c>
      <c r="F1079" s="4">
        <v>1</v>
      </c>
      <c r="G1079" s="5">
        <v>16.5</v>
      </c>
      <c r="H1079" s="5">
        <f t="shared" si="16"/>
        <v>16.5</v>
      </c>
    </row>
    <row r="1080" customFormat="1" hidden="1" spans="1:8">
      <c r="A1080" s="2">
        <v>46169</v>
      </c>
      <c r="B1080" s="3">
        <v>1606782</v>
      </c>
      <c r="C1080" s="3" t="s">
        <v>153</v>
      </c>
      <c r="D1080" s="4">
        <v>20318380</v>
      </c>
      <c r="E1080" s="3" t="s">
        <v>232</v>
      </c>
      <c r="F1080" s="4">
        <v>1</v>
      </c>
      <c r="G1080" s="5">
        <v>16.5</v>
      </c>
      <c r="H1080" s="5">
        <f t="shared" si="16"/>
        <v>16.5</v>
      </c>
    </row>
    <row r="1081" customFormat="1" hidden="1" spans="1:8">
      <c r="A1081" s="2">
        <v>46169</v>
      </c>
      <c r="B1081" s="3">
        <v>1606782</v>
      </c>
      <c r="C1081" s="3" t="s">
        <v>153</v>
      </c>
      <c r="D1081" s="4">
        <v>20318340</v>
      </c>
      <c r="E1081" s="3" t="s">
        <v>240</v>
      </c>
      <c r="F1081" s="4">
        <v>1</v>
      </c>
      <c r="G1081" s="5">
        <v>16.5</v>
      </c>
      <c r="H1081" s="5">
        <f t="shared" si="16"/>
        <v>16.5</v>
      </c>
    </row>
    <row r="1082" customFormat="1" hidden="1" spans="1:8">
      <c r="A1082" s="2">
        <v>46169</v>
      </c>
      <c r="B1082" s="3">
        <v>1606782</v>
      </c>
      <c r="C1082" s="3" t="s">
        <v>153</v>
      </c>
      <c r="D1082" s="4">
        <v>20321250</v>
      </c>
      <c r="E1082" s="3" t="s">
        <v>259</v>
      </c>
      <c r="F1082" s="4">
        <v>1</v>
      </c>
      <c r="G1082" s="5">
        <v>16.5</v>
      </c>
      <c r="H1082" s="5">
        <f t="shared" si="16"/>
        <v>16.5</v>
      </c>
    </row>
    <row r="1083" customFormat="1" hidden="1" spans="1:8">
      <c r="A1083" s="2">
        <v>46169</v>
      </c>
      <c r="B1083" s="3">
        <v>1606782</v>
      </c>
      <c r="C1083" s="3" t="s">
        <v>153</v>
      </c>
      <c r="D1083" s="4">
        <v>20340289</v>
      </c>
      <c r="E1083" s="3" t="s">
        <v>272</v>
      </c>
      <c r="F1083" s="4">
        <v>1</v>
      </c>
      <c r="G1083" s="5">
        <v>16.5</v>
      </c>
      <c r="H1083" s="5">
        <f t="shared" si="16"/>
        <v>16.5</v>
      </c>
    </row>
    <row r="1084" customFormat="1" hidden="1" spans="1:8">
      <c r="A1084" s="2">
        <v>46169</v>
      </c>
      <c r="B1084" s="3">
        <v>1606782</v>
      </c>
      <c r="C1084" s="3" t="s">
        <v>153</v>
      </c>
      <c r="D1084" s="4">
        <v>20318389</v>
      </c>
      <c r="E1084" s="3" t="s">
        <v>302</v>
      </c>
      <c r="F1084" s="4">
        <v>1</v>
      </c>
      <c r="G1084" s="5">
        <v>16.5</v>
      </c>
      <c r="H1084" s="5">
        <f t="shared" si="16"/>
        <v>16.5</v>
      </c>
    </row>
    <row r="1085" customFormat="1" hidden="1" spans="1:8">
      <c r="A1085" s="2">
        <v>46169</v>
      </c>
      <c r="B1085" s="3">
        <v>1606782</v>
      </c>
      <c r="C1085" s="3" t="s">
        <v>153</v>
      </c>
      <c r="D1085" s="4">
        <v>20318336</v>
      </c>
      <c r="E1085" s="3" t="s">
        <v>303</v>
      </c>
      <c r="F1085" s="4">
        <v>1</v>
      </c>
      <c r="G1085" s="5">
        <v>16.5</v>
      </c>
      <c r="H1085" s="5">
        <f t="shared" si="16"/>
        <v>16.5</v>
      </c>
    </row>
    <row r="1086" customFormat="1" hidden="1" spans="1:8">
      <c r="A1086" s="2">
        <v>46169</v>
      </c>
      <c r="B1086" s="3">
        <v>1606842</v>
      </c>
      <c r="C1086" s="3" t="s">
        <v>151</v>
      </c>
      <c r="D1086" s="4">
        <v>20410296</v>
      </c>
      <c r="E1086" s="3" t="s">
        <v>188</v>
      </c>
      <c r="F1086" s="4">
        <v>1</v>
      </c>
      <c r="G1086" s="5">
        <v>16.5</v>
      </c>
      <c r="H1086" s="5">
        <f t="shared" si="16"/>
        <v>16.5</v>
      </c>
    </row>
    <row r="1087" customFormat="1" hidden="1" spans="1:8">
      <c r="A1087" s="2">
        <v>46169</v>
      </c>
      <c r="B1087" s="3">
        <v>1606858</v>
      </c>
      <c r="C1087" s="3" t="s">
        <v>150</v>
      </c>
      <c r="D1087" s="4">
        <v>20365495</v>
      </c>
      <c r="E1087" s="3" t="s">
        <v>249</v>
      </c>
      <c r="F1087" s="4">
        <v>1</v>
      </c>
      <c r="G1087" s="5">
        <v>154</v>
      </c>
      <c r="H1087" s="5">
        <f t="shared" si="16"/>
        <v>154</v>
      </c>
    </row>
    <row r="1088" customFormat="1" hidden="1" spans="1:8">
      <c r="A1088" s="2">
        <v>46169</v>
      </c>
      <c r="B1088" s="3">
        <v>1606858</v>
      </c>
      <c r="C1088" s="3" t="s">
        <v>150</v>
      </c>
      <c r="D1088" s="4">
        <v>20312966</v>
      </c>
      <c r="E1088" s="3" t="s">
        <v>258</v>
      </c>
      <c r="F1088" s="4">
        <v>2</v>
      </c>
      <c r="G1088" s="5">
        <v>159.5</v>
      </c>
      <c r="H1088" s="5">
        <f t="shared" si="16"/>
        <v>319</v>
      </c>
    </row>
    <row r="1089" customFormat="1" hidden="1" spans="1:8">
      <c r="A1089" s="2">
        <v>46169</v>
      </c>
      <c r="B1089" s="3">
        <v>1606858</v>
      </c>
      <c r="C1089" s="3" t="s">
        <v>150</v>
      </c>
      <c r="D1089" s="4">
        <v>20312965</v>
      </c>
      <c r="E1089" s="3" t="s">
        <v>112</v>
      </c>
      <c r="F1089" s="4">
        <v>5</v>
      </c>
      <c r="G1089" s="5">
        <v>137.5</v>
      </c>
      <c r="H1089" s="5">
        <f t="shared" si="16"/>
        <v>687.5</v>
      </c>
    </row>
    <row r="1090" customFormat="1" hidden="1" spans="1:8">
      <c r="A1090" s="2">
        <v>46169</v>
      </c>
      <c r="B1090" s="3">
        <v>1606858</v>
      </c>
      <c r="C1090" s="3" t="s">
        <v>150</v>
      </c>
      <c r="D1090" s="4">
        <v>20312967</v>
      </c>
      <c r="E1090" s="3" t="s">
        <v>289</v>
      </c>
      <c r="F1090" s="4">
        <v>7</v>
      </c>
      <c r="G1090" s="5">
        <v>176</v>
      </c>
      <c r="H1090" s="5">
        <f t="shared" ref="H1090:H1153" si="17">G1090*F1090</f>
        <v>1232</v>
      </c>
    </row>
    <row r="1091" customFormat="1" hidden="1" spans="1:8">
      <c r="A1091" s="2">
        <v>46169</v>
      </c>
      <c r="B1091" s="3">
        <v>1606858</v>
      </c>
      <c r="C1091" s="3" t="s">
        <v>150</v>
      </c>
      <c r="D1091" s="4">
        <v>20424417</v>
      </c>
      <c r="E1091" s="3" t="s">
        <v>312</v>
      </c>
      <c r="F1091" s="4">
        <v>2</v>
      </c>
      <c r="G1091" s="5">
        <v>66</v>
      </c>
      <c r="H1091" s="5">
        <f t="shared" si="17"/>
        <v>132</v>
      </c>
    </row>
    <row r="1092" customFormat="1" hidden="1" spans="1:8">
      <c r="A1092" s="2">
        <v>46169</v>
      </c>
      <c r="B1092" s="3">
        <v>1606858</v>
      </c>
      <c r="C1092" s="3" t="s">
        <v>152</v>
      </c>
      <c r="D1092" s="4">
        <v>20366063</v>
      </c>
      <c r="E1092" s="3" t="s">
        <v>193</v>
      </c>
      <c r="F1092" s="4">
        <v>1</v>
      </c>
      <c r="G1092" s="5">
        <v>66</v>
      </c>
      <c r="H1092" s="5">
        <f t="shared" si="17"/>
        <v>66</v>
      </c>
    </row>
    <row r="1093" customFormat="1" hidden="1" spans="1:8">
      <c r="A1093" s="2">
        <v>46169</v>
      </c>
      <c r="B1093" s="3">
        <v>1606858</v>
      </c>
      <c r="C1093" s="3" t="s">
        <v>152</v>
      </c>
      <c r="D1093" s="4">
        <v>20366064</v>
      </c>
      <c r="E1093" s="3" t="s">
        <v>195</v>
      </c>
      <c r="F1093" s="4">
        <v>1</v>
      </c>
      <c r="G1093" s="5">
        <v>71.5</v>
      </c>
      <c r="H1093" s="5">
        <f t="shared" si="17"/>
        <v>71.5</v>
      </c>
    </row>
    <row r="1094" customFormat="1" hidden="1" spans="1:8">
      <c r="A1094" s="2">
        <v>46169</v>
      </c>
      <c r="B1094" s="3">
        <v>1606880</v>
      </c>
      <c r="C1094" s="3" t="s">
        <v>150</v>
      </c>
      <c r="D1094" s="4">
        <v>20312966</v>
      </c>
      <c r="E1094" s="3" t="s">
        <v>258</v>
      </c>
      <c r="F1094" s="4">
        <v>4</v>
      </c>
      <c r="G1094" s="5">
        <v>159.5</v>
      </c>
      <c r="H1094" s="5">
        <f t="shared" si="17"/>
        <v>638</v>
      </c>
    </row>
    <row r="1095" customFormat="1" hidden="1" spans="1:8">
      <c r="A1095" s="2">
        <v>46169</v>
      </c>
      <c r="B1095" s="3">
        <v>1606880</v>
      </c>
      <c r="C1095" s="3" t="s">
        <v>150</v>
      </c>
      <c r="D1095" s="4">
        <v>20312965</v>
      </c>
      <c r="E1095" s="3" t="s">
        <v>112</v>
      </c>
      <c r="F1095" s="4">
        <v>2</v>
      </c>
      <c r="G1095" s="5">
        <v>137.5</v>
      </c>
      <c r="H1095" s="5">
        <f t="shared" si="17"/>
        <v>275</v>
      </c>
    </row>
    <row r="1096" customFormat="1" hidden="1" spans="1:8">
      <c r="A1096" s="2">
        <v>46169</v>
      </c>
      <c r="B1096" s="3">
        <v>1606880</v>
      </c>
      <c r="C1096" s="3" t="s">
        <v>150</v>
      </c>
      <c r="D1096" s="4">
        <v>20312967</v>
      </c>
      <c r="E1096" s="3" t="s">
        <v>289</v>
      </c>
      <c r="F1096" s="4">
        <v>4</v>
      </c>
      <c r="G1096" s="5">
        <v>176</v>
      </c>
      <c r="H1096" s="5">
        <f t="shared" si="17"/>
        <v>704</v>
      </c>
    </row>
    <row r="1097" customFormat="1" hidden="1" spans="1:8">
      <c r="A1097" s="2">
        <v>46169</v>
      </c>
      <c r="B1097" s="3">
        <v>1606880</v>
      </c>
      <c r="C1097" s="3" t="s">
        <v>151</v>
      </c>
      <c r="D1097" s="4">
        <v>20410156</v>
      </c>
      <c r="E1097" s="3" t="s">
        <v>192</v>
      </c>
      <c r="F1097" s="4">
        <v>1</v>
      </c>
      <c r="G1097" s="5">
        <v>16.5</v>
      </c>
      <c r="H1097" s="5">
        <f t="shared" si="17"/>
        <v>16.5</v>
      </c>
    </row>
    <row r="1098" customFormat="1" hidden="1" spans="1:8">
      <c r="A1098" s="2">
        <v>46169</v>
      </c>
      <c r="B1098" s="3">
        <v>1606880</v>
      </c>
      <c r="C1098" s="3" t="s">
        <v>151</v>
      </c>
      <c r="D1098" s="4">
        <v>20410957</v>
      </c>
      <c r="E1098" s="3" t="s">
        <v>197</v>
      </c>
      <c r="F1098" s="4">
        <v>1</v>
      </c>
      <c r="G1098" s="5">
        <v>16.5</v>
      </c>
      <c r="H1098" s="5">
        <f t="shared" si="17"/>
        <v>16.5</v>
      </c>
    </row>
    <row r="1099" customFormat="1" hidden="1" spans="1:8">
      <c r="A1099" s="2">
        <v>46169</v>
      </c>
      <c r="B1099" s="3">
        <v>1606880</v>
      </c>
      <c r="C1099" s="3" t="s">
        <v>156</v>
      </c>
      <c r="D1099" s="4">
        <v>20322235</v>
      </c>
      <c r="E1099" s="3" t="s">
        <v>111</v>
      </c>
      <c r="F1099" s="4">
        <v>19</v>
      </c>
      <c r="G1099" s="5">
        <v>2.5</v>
      </c>
      <c r="H1099" s="5">
        <f t="shared" si="17"/>
        <v>47.5</v>
      </c>
    </row>
    <row r="1100" customFormat="1" hidden="1" spans="1:8">
      <c r="A1100" s="2">
        <v>46169</v>
      </c>
      <c r="B1100" s="3">
        <v>1606880</v>
      </c>
      <c r="C1100" s="3" t="s">
        <v>156</v>
      </c>
      <c r="D1100" s="4">
        <v>20322243</v>
      </c>
      <c r="E1100" s="3" t="s">
        <v>117</v>
      </c>
      <c r="F1100" s="4">
        <v>1</v>
      </c>
      <c r="G1100" s="5">
        <v>30</v>
      </c>
      <c r="H1100" s="5">
        <f t="shared" si="17"/>
        <v>30</v>
      </c>
    </row>
    <row r="1101" customFormat="1" hidden="1" spans="1:8">
      <c r="A1101" s="2">
        <v>46169</v>
      </c>
      <c r="B1101" s="3">
        <v>1606880</v>
      </c>
      <c r="C1101" s="3" t="s">
        <v>156</v>
      </c>
      <c r="D1101" s="4">
        <v>20322234</v>
      </c>
      <c r="E1101" s="3" t="s">
        <v>274</v>
      </c>
      <c r="F1101" s="4">
        <v>7</v>
      </c>
      <c r="G1101" s="5">
        <v>2.5</v>
      </c>
      <c r="H1101" s="5">
        <f t="shared" si="17"/>
        <v>17.5</v>
      </c>
    </row>
    <row r="1102" customFormat="1" hidden="1" spans="1:8">
      <c r="A1102" s="2">
        <v>46169</v>
      </c>
      <c r="B1102" s="3">
        <v>1606880</v>
      </c>
      <c r="C1102" s="3" t="s">
        <v>156</v>
      </c>
      <c r="D1102" s="4">
        <v>20330757</v>
      </c>
      <c r="E1102" s="3" t="s">
        <v>288</v>
      </c>
      <c r="F1102" s="4">
        <v>3</v>
      </c>
      <c r="G1102" s="5">
        <v>35</v>
      </c>
      <c r="H1102" s="5">
        <f t="shared" si="17"/>
        <v>105</v>
      </c>
    </row>
    <row r="1103" customFormat="1" hidden="1" spans="1:8">
      <c r="A1103" s="2">
        <v>46169</v>
      </c>
      <c r="B1103" s="3">
        <v>1606880</v>
      </c>
      <c r="C1103" s="3" t="s">
        <v>152</v>
      </c>
      <c r="D1103" s="4">
        <v>20366059</v>
      </c>
      <c r="E1103" s="3" t="s">
        <v>194</v>
      </c>
      <c r="F1103" s="4">
        <v>1</v>
      </c>
      <c r="G1103" s="5">
        <v>66</v>
      </c>
      <c r="H1103" s="5">
        <f t="shared" si="17"/>
        <v>66</v>
      </c>
    </row>
    <row r="1104" customFormat="1" hidden="1" spans="1:8">
      <c r="A1104" s="2">
        <v>46169</v>
      </c>
      <c r="B1104" s="3">
        <v>1606880</v>
      </c>
      <c r="C1104" s="3" t="s">
        <v>152</v>
      </c>
      <c r="D1104" s="4">
        <v>20366065</v>
      </c>
      <c r="E1104" s="3" t="s">
        <v>196</v>
      </c>
      <c r="F1104" s="4">
        <v>1</v>
      </c>
      <c r="G1104" s="5">
        <v>71.5</v>
      </c>
      <c r="H1104" s="5">
        <f t="shared" si="17"/>
        <v>71.5</v>
      </c>
    </row>
    <row r="1105" customFormat="1" hidden="1" spans="1:8">
      <c r="A1105" s="2">
        <v>46169</v>
      </c>
      <c r="B1105" s="3">
        <v>1606880</v>
      </c>
      <c r="C1105" s="3" t="s">
        <v>153</v>
      </c>
      <c r="D1105" s="4">
        <v>20321257</v>
      </c>
      <c r="E1105" s="3" t="s">
        <v>68</v>
      </c>
      <c r="F1105" s="4">
        <v>1</v>
      </c>
      <c r="G1105" s="5">
        <v>16.5</v>
      </c>
      <c r="H1105" s="5">
        <f t="shared" si="17"/>
        <v>16.5</v>
      </c>
    </row>
    <row r="1106" customFormat="1" hidden="1" spans="1:8">
      <c r="A1106" s="2">
        <v>46169</v>
      </c>
      <c r="B1106" s="3">
        <v>1606880</v>
      </c>
      <c r="C1106" s="3" t="s">
        <v>153</v>
      </c>
      <c r="D1106" s="4">
        <v>20318334</v>
      </c>
      <c r="E1106" s="3" t="s">
        <v>186</v>
      </c>
      <c r="F1106" s="4">
        <v>1</v>
      </c>
      <c r="G1106" s="5">
        <v>16.5</v>
      </c>
      <c r="H1106" s="5">
        <f t="shared" si="17"/>
        <v>16.5</v>
      </c>
    </row>
    <row r="1107" customFormat="1" hidden="1" spans="1:8">
      <c r="A1107" s="2">
        <v>46169</v>
      </c>
      <c r="B1107" s="3">
        <v>1606880</v>
      </c>
      <c r="C1107" s="3" t="s">
        <v>153</v>
      </c>
      <c r="D1107" s="4">
        <v>20335601</v>
      </c>
      <c r="E1107" s="3" t="s">
        <v>200</v>
      </c>
      <c r="F1107" s="4">
        <v>1</v>
      </c>
      <c r="G1107" s="5">
        <v>16.5</v>
      </c>
      <c r="H1107" s="5">
        <f t="shared" si="17"/>
        <v>16.5</v>
      </c>
    </row>
    <row r="1108" customFormat="1" hidden="1" spans="1:8">
      <c r="A1108" s="2">
        <v>46169</v>
      </c>
      <c r="B1108" s="3">
        <v>1606880</v>
      </c>
      <c r="C1108" s="3" t="s">
        <v>153</v>
      </c>
      <c r="D1108" s="4">
        <v>20343399</v>
      </c>
      <c r="E1108" s="3" t="s">
        <v>228</v>
      </c>
      <c r="F1108" s="4">
        <v>1</v>
      </c>
      <c r="G1108" s="5">
        <v>33</v>
      </c>
      <c r="H1108" s="5">
        <f t="shared" si="17"/>
        <v>33</v>
      </c>
    </row>
    <row r="1109" customFormat="1" hidden="1" spans="1:8">
      <c r="A1109" s="2">
        <v>46169</v>
      </c>
      <c r="B1109" s="3">
        <v>1606880</v>
      </c>
      <c r="C1109" s="3" t="s">
        <v>153</v>
      </c>
      <c r="D1109" s="4">
        <v>20318378</v>
      </c>
      <c r="E1109" s="3" t="s">
        <v>231</v>
      </c>
      <c r="F1109" s="4">
        <v>2</v>
      </c>
      <c r="G1109" s="5">
        <v>16.5</v>
      </c>
      <c r="H1109" s="5">
        <f t="shared" si="17"/>
        <v>33</v>
      </c>
    </row>
    <row r="1110" customFormat="1" hidden="1" spans="1:8">
      <c r="A1110" s="2">
        <v>46169</v>
      </c>
      <c r="B1110" s="3">
        <v>1606880</v>
      </c>
      <c r="C1110" s="3" t="s">
        <v>153</v>
      </c>
      <c r="D1110" s="4">
        <v>20318340</v>
      </c>
      <c r="E1110" s="3" t="s">
        <v>240</v>
      </c>
      <c r="F1110" s="4">
        <v>1</v>
      </c>
      <c r="G1110" s="5">
        <v>16.5</v>
      </c>
      <c r="H1110" s="5">
        <f t="shared" si="17"/>
        <v>16.5</v>
      </c>
    </row>
    <row r="1111" customFormat="1" hidden="1" spans="1:8">
      <c r="A1111" s="2">
        <v>46169</v>
      </c>
      <c r="B1111" s="3">
        <v>1606880</v>
      </c>
      <c r="C1111" s="3" t="s">
        <v>153</v>
      </c>
      <c r="D1111" s="4">
        <v>20321502</v>
      </c>
      <c r="E1111" s="3" t="s">
        <v>251</v>
      </c>
      <c r="F1111" s="4">
        <v>1</v>
      </c>
      <c r="G1111" s="5">
        <v>16.5</v>
      </c>
      <c r="H1111" s="5">
        <f t="shared" si="17"/>
        <v>16.5</v>
      </c>
    </row>
    <row r="1112" customFormat="1" hidden="1" spans="1:8">
      <c r="A1112" s="2">
        <v>46169</v>
      </c>
      <c r="B1112" s="3">
        <v>1606880</v>
      </c>
      <c r="C1112" s="3" t="s">
        <v>153</v>
      </c>
      <c r="D1112" s="4">
        <v>20374808</v>
      </c>
      <c r="E1112" s="3" t="s">
        <v>253</v>
      </c>
      <c r="F1112" s="4">
        <v>1</v>
      </c>
      <c r="G1112" s="5">
        <v>16.5</v>
      </c>
      <c r="H1112" s="5">
        <f t="shared" si="17"/>
        <v>16.5</v>
      </c>
    </row>
    <row r="1113" customFormat="1" hidden="1" spans="1:8">
      <c r="A1113" s="2">
        <v>46169</v>
      </c>
      <c r="B1113" s="3">
        <v>1606880</v>
      </c>
      <c r="C1113" s="3" t="s">
        <v>153</v>
      </c>
      <c r="D1113" s="4">
        <v>20321250</v>
      </c>
      <c r="E1113" s="3" t="s">
        <v>259</v>
      </c>
      <c r="F1113" s="4">
        <v>1</v>
      </c>
      <c r="G1113" s="5">
        <v>16.5</v>
      </c>
      <c r="H1113" s="5">
        <f t="shared" si="17"/>
        <v>16.5</v>
      </c>
    </row>
    <row r="1114" customFormat="1" hidden="1" spans="1:8">
      <c r="A1114" s="2">
        <v>46169</v>
      </c>
      <c r="B1114" s="3">
        <v>1606880</v>
      </c>
      <c r="C1114" s="3" t="s">
        <v>153</v>
      </c>
      <c r="D1114" s="4">
        <v>20318383</v>
      </c>
      <c r="E1114" s="3" t="s">
        <v>261</v>
      </c>
      <c r="F1114" s="4">
        <v>1</v>
      </c>
      <c r="G1114" s="5">
        <v>16.5</v>
      </c>
      <c r="H1114" s="5">
        <f t="shared" si="17"/>
        <v>16.5</v>
      </c>
    </row>
    <row r="1115" customFormat="1" hidden="1" spans="1:8">
      <c r="A1115" s="2">
        <v>46169</v>
      </c>
      <c r="B1115" s="3">
        <v>1606880</v>
      </c>
      <c r="C1115" s="3" t="s">
        <v>153</v>
      </c>
      <c r="D1115" s="4">
        <v>20340289</v>
      </c>
      <c r="E1115" s="3" t="s">
        <v>272</v>
      </c>
      <c r="F1115" s="4">
        <v>2</v>
      </c>
      <c r="G1115" s="5">
        <v>16.5</v>
      </c>
      <c r="H1115" s="5">
        <f t="shared" si="17"/>
        <v>33</v>
      </c>
    </row>
    <row r="1116" customFormat="1" hidden="1" spans="1:8">
      <c r="A1116" s="2">
        <v>46169</v>
      </c>
      <c r="B1116" s="3">
        <v>1606880</v>
      </c>
      <c r="C1116" s="3" t="s">
        <v>153</v>
      </c>
      <c r="D1116" s="4">
        <v>20318336</v>
      </c>
      <c r="E1116" s="3" t="s">
        <v>303</v>
      </c>
      <c r="F1116" s="4">
        <v>3</v>
      </c>
      <c r="G1116" s="5">
        <v>16.5</v>
      </c>
      <c r="H1116" s="5">
        <f t="shared" si="17"/>
        <v>49.5</v>
      </c>
    </row>
    <row r="1117" customFormat="1" hidden="1" spans="1:8">
      <c r="A1117" s="2">
        <v>46169</v>
      </c>
      <c r="B1117" s="3">
        <v>1606880</v>
      </c>
      <c r="C1117" s="3" t="s">
        <v>153</v>
      </c>
      <c r="D1117" s="4">
        <v>20318342</v>
      </c>
      <c r="E1117" s="3" t="s">
        <v>304</v>
      </c>
      <c r="F1117" s="4">
        <v>1</v>
      </c>
      <c r="G1117" s="5">
        <v>16.5</v>
      </c>
      <c r="H1117" s="5">
        <f t="shared" si="17"/>
        <v>16.5</v>
      </c>
    </row>
    <row r="1118" customFormat="1" hidden="1" spans="1:8">
      <c r="A1118" s="2">
        <v>46169</v>
      </c>
      <c r="B1118" s="3">
        <v>1606919</v>
      </c>
      <c r="C1118" s="3" t="s">
        <v>150</v>
      </c>
      <c r="D1118" s="4">
        <v>20321719</v>
      </c>
      <c r="E1118" s="3" t="s">
        <v>163</v>
      </c>
      <c r="F1118" s="4">
        <v>1</v>
      </c>
      <c r="G1118" s="5">
        <v>49.5</v>
      </c>
      <c r="H1118" s="5">
        <f t="shared" si="17"/>
        <v>49.5</v>
      </c>
    </row>
    <row r="1119" customFormat="1" hidden="1" spans="1:8">
      <c r="A1119" s="2">
        <v>46169</v>
      </c>
      <c r="B1119" s="3">
        <v>1606919</v>
      </c>
      <c r="C1119" s="3" t="s">
        <v>150</v>
      </c>
      <c r="D1119" s="4">
        <v>20312966</v>
      </c>
      <c r="E1119" s="3" t="s">
        <v>258</v>
      </c>
      <c r="F1119" s="4">
        <v>4</v>
      </c>
      <c r="G1119" s="5">
        <v>159.5</v>
      </c>
      <c r="H1119" s="5">
        <f t="shared" si="17"/>
        <v>638</v>
      </c>
    </row>
    <row r="1120" customFormat="1" hidden="1" spans="1:8">
      <c r="A1120" s="2">
        <v>46169</v>
      </c>
      <c r="B1120" s="3">
        <v>1606919</v>
      </c>
      <c r="C1120" s="3" t="s">
        <v>150</v>
      </c>
      <c r="D1120" s="4">
        <v>20312965</v>
      </c>
      <c r="E1120" s="3" t="s">
        <v>112</v>
      </c>
      <c r="F1120" s="4">
        <v>1</v>
      </c>
      <c r="G1120" s="5">
        <v>137.5</v>
      </c>
      <c r="H1120" s="5">
        <f t="shared" si="17"/>
        <v>137.5</v>
      </c>
    </row>
    <row r="1121" customFormat="1" hidden="1" spans="1:8">
      <c r="A1121" s="2">
        <v>46169</v>
      </c>
      <c r="B1121" s="3">
        <v>1606919</v>
      </c>
      <c r="C1121" s="3" t="s">
        <v>150</v>
      </c>
      <c r="D1121" s="4">
        <v>20312967</v>
      </c>
      <c r="E1121" s="3" t="s">
        <v>289</v>
      </c>
      <c r="F1121" s="4">
        <v>7</v>
      </c>
      <c r="G1121" s="5">
        <v>176</v>
      </c>
      <c r="H1121" s="5">
        <f t="shared" si="17"/>
        <v>1232</v>
      </c>
    </row>
    <row r="1122" customFormat="1" hidden="1" spans="1:8">
      <c r="A1122" s="2">
        <v>46169</v>
      </c>
      <c r="B1122" s="3">
        <v>1606919</v>
      </c>
      <c r="C1122" s="3" t="s">
        <v>150</v>
      </c>
      <c r="D1122" s="4">
        <v>20424417</v>
      </c>
      <c r="E1122" s="3" t="s">
        <v>312</v>
      </c>
      <c r="F1122" s="4">
        <v>2</v>
      </c>
      <c r="G1122" s="5">
        <v>66</v>
      </c>
      <c r="H1122" s="5">
        <f t="shared" si="17"/>
        <v>132</v>
      </c>
    </row>
    <row r="1123" customFormat="1" hidden="1" spans="1:8">
      <c r="A1123" s="2">
        <v>46169</v>
      </c>
      <c r="B1123" s="3">
        <v>1606919</v>
      </c>
      <c r="C1123" s="3" t="s">
        <v>156</v>
      </c>
      <c r="D1123" s="4">
        <v>20330757</v>
      </c>
      <c r="E1123" s="3" t="s">
        <v>288</v>
      </c>
      <c r="F1123" s="4">
        <v>2</v>
      </c>
      <c r="G1123" s="5">
        <v>35</v>
      </c>
      <c r="H1123" s="5">
        <f t="shared" si="17"/>
        <v>70</v>
      </c>
    </row>
    <row r="1124" customFormat="1" hidden="1" spans="1:8">
      <c r="A1124" s="2">
        <v>46169</v>
      </c>
      <c r="B1124" s="3">
        <v>1606919</v>
      </c>
      <c r="C1124" s="3" t="s">
        <v>153</v>
      </c>
      <c r="D1124" s="4">
        <v>20321257</v>
      </c>
      <c r="E1124" s="3" t="s">
        <v>68</v>
      </c>
      <c r="F1124" s="4">
        <v>5</v>
      </c>
      <c r="G1124" s="5">
        <v>16.5</v>
      </c>
      <c r="H1124" s="5">
        <f t="shared" si="17"/>
        <v>82.5</v>
      </c>
    </row>
    <row r="1125" customFormat="1" hidden="1" spans="1:8">
      <c r="A1125" s="2">
        <v>46169</v>
      </c>
      <c r="B1125" s="3">
        <v>1606919</v>
      </c>
      <c r="C1125" s="3" t="s">
        <v>153</v>
      </c>
      <c r="D1125" s="4">
        <v>20318334</v>
      </c>
      <c r="E1125" s="3" t="s">
        <v>186</v>
      </c>
      <c r="F1125" s="4">
        <v>1</v>
      </c>
      <c r="G1125" s="5">
        <v>16.5</v>
      </c>
      <c r="H1125" s="5">
        <f t="shared" si="17"/>
        <v>16.5</v>
      </c>
    </row>
    <row r="1126" customFormat="1" hidden="1" spans="1:8">
      <c r="A1126" s="2">
        <v>46169</v>
      </c>
      <c r="B1126" s="3">
        <v>1606919</v>
      </c>
      <c r="C1126" s="3" t="s">
        <v>153</v>
      </c>
      <c r="D1126" s="4">
        <v>20318378</v>
      </c>
      <c r="E1126" s="3" t="s">
        <v>231</v>
      </c>
      <c r="F1126" s="4">
        <v>1</v>
      </c>
      <c r="G1126" s="5">
        <v>16.5</v>
      </c>
      <c r="H1126" s="5">
        <f t="shared" si="17"/>
        <v>16.5</v>
      </c>
    </row>
    <row r="1127" customFormat="1" hidden="1" spans="1:8">
      <c r="A1127" s="2">
        <v>46169</v>
      </c>
      <c r="B1127" s="3">
        <v>1606919</v>
      </c>
      <c r="C1127" s="3" t="s">
        <v>153</v>
      </c>
      <c r="D1127" s="4">
        <v>20318380</v>
      </c>
      <c r="E1127" s="3" t="s">
        <v>232</v>
      </c>
      <c r="F1127" s="4">
        <v>1</v>
      </c>
      <c r="G1127" s="5">
        <v>16.5</v>
      </c>
      <c r="H1127" s="5">
        <f t="shared" si="17"/>
        <v>16.5</v>
      </c>
    </row>
    <row r="1128" customFormat="1" hidden="1" spans="1:8">
      <c r="A1128" s="2">
        <v>46169</v>
      </c>
      <c r="B1128" s="3">
        <v>1606919</v>
      </c>
      <c r="C1128" s="3" t="s">
        <v>153</v>
      </c>
      <c r="D1128" s="4">
        <v>20318340</v>
      </c>
      <c r="E1128" s="3" t="s">
        <v>240</v>
      </c>
      <c r="F1128" s="4">
        <v>2</v>
      </c>
      <c r="G1128" s="5">
        <v>16.5</v>
      </c>
      <c r="H1128" s="5">
        <f t="shared" si="17"/>
        <v>33</v>
      </c>
    </row>
    <row r="1129" customFormat="1" hidden="1" spans="1:8">
      <c r="A1129" s="2">
        <v>46169</v>
      </c>
      <c r="B1129" s="3">
        <v>1606919</v>
      </c>
      <c r="C1129" s="3" t="s">
        <v>153</v>
      </c>
      <c r="D1129" s="4">
        <v>20321250</v>
      </c>
      <c r="E1129" s="3" t="s">
        <v>259</v>
      </c>
      <c r="F1129" s="4">
        <v>1</v>
      </c>
      <c r="G1129" s="5">
        <v>16.5</v>
      </c>
      <c r="H1129" s="5">
        <f t="shared" si="17"/>
        <v>16.5</v>
      </c>
    </row>
    <row r="1130" customFormat="1" hidden="1" spans="1:8">
      <c r="A1130" s="2">
        <v>46169</v>
      </c>
      <c r="B1130" s="3">
        <v>1606919</v>
      </c>
      <c r="C1130" s="3" t="s">
        <v>153</v>
      </c>
      <c r="D1130" s="4">
        <v>20318336</v>
      </c>
      <c r="E1130" s="3" t="s">
        <v>303</v>
      </c>
      <c r="F1130" s="4">
        <v>1</v>
      </c>
      <c r="G1130" s="5">
        <v>16.5</v>
      </c>
      <c r="H1130" s="5">
        <f t="shared" si="17"/>
        <v>16.5</v>
      </c>
    </row>
    <row r="1131" customFormat="1" hidden="1" spans="1:8">
      <c r="A1131" s="2">
        <v>46169</v>
      </c>
      <c r="B1131" s="3">
        <v>1606919</v>
      </c>
      <c r="C1131" s="3" t="s">
        <v>153</v>
      </c>
      <c r="D1131" s="4">
        <v>20318342</v>
      </c>
      <c r="E1131" s="3" t="s">
        <v>304</v>
      </c>
      <c r="F1131" s="4">
        <v>1</v>
      </c>
      <c r="G1131" s="5">
        <v>16.5</v>
      </c>
      <c r="H1131" s="5">
        <f t="shared" si="17"/>
        <v>16.5</v>
      </c>
    </row>
    <row r="1132" customFormat="1" hidden="1" spans="1:8">
      <c r="A1132" s="2">
        <v>46170</v>
      </c>
      <c r="B1132" s="3">
        <v>1607104</v>
      </c>
      <c r="C1132" s="3" t="s">
        <v>150</v>
      </c>
      <c r="D1132" s="4">
        <v>20321476</v>
      </c>
      <c r="E1132" s="3" t="s">
        <v>161</v>
      </c>
      <c r="F1132" s="4">
        <v>1</v>
      </c>
      <c r="G1132" s="5">
        <v>55</v>
      </c>
      <c r="H1132" s="5">
        <f t="shared" si="17"/>
        <v>55</v>
      </c>
    </row>
    <row r="1133" customFormat="1" hidden="1" spans="1:8">
      <c r="A1133" s="2">
        <v>46170</v>
      </c>
      <c r="B1133" s="3">
        <v>1607104</v>
      </c>
      <c r="C1133" s="3" t="s">
        <v>150</v>
      </c>
      <c r="D1133" s="4">
        <v>20427411</v>
      </c>
      <c r="E1133" s="3" t="s">
        <v>181</v>
      </c>
      <c r="F1133" s="4">
        <v>1</v>
      </c>
      <c r="G1133" s="5">
        <v>49.5</v>
      </c>
      <c r="H1133" s="5">
        <f t="shared" si="17"/>
        <v>49.5</v>
      </c>
    </row>
    <row r="1134" customFormat="1" hidden="1" spans="1:8">
      <c r="A1134" s="2">
        <v>46170</v>
      </c>
      <c r="B1134" s="3">
        <v>1607104</v>
      </c>
      <c r="C1134" s="3" t="s">
        <v>150</v>
      </c>
      <c r="D1134" s="4">
        <v>20312966</v>
      </c>
      <c r="E1134" s="3" t="s">
        <v>258</v>
      </c>
      <c r="F1134" s="4">
        <v>4</v>
      </c>
      <c r="G1134" s="5">
        <v>159.5</v>
      </c>
      <c r="H1134" s="5">
        <f t="shared" si="17"/>
        <v>638</v>
      </c>
    </row>
    <row r="1135" customFormat="1" hidden="1" spans="1:8">
      <c r="A1135" s="2">
        <v>46170</v>
      </c>
      <c r="B1135" s="3">
        <v>1607104</v>
      </c>
      <c r="C1135" s="3" t="s">
        <v>150</v>
      </c>
      <c r="D1135" s="4">
        <v>20312965</v>
      </c>
      <c r="E1135" s="3" t="s">
        <v>112</v>
      </c>
      <c r="F1135" s="4">
        <v>1</v>
      </c>
      <c r="G1135" s="5">
        <v>137.5</v>
      </c>
      <c r="H1135" s="5">
        <f t="shared" si="17"/>
        <v>137.5</v>
      </c>
    </row>
    <row r="1136" customFormat="1" hidden="1" spans="1:8">
      <c r="A1136" s="2">
        <v>46170</v>
      </c>
      <c r="B1136" s="3">
        <v>1607104</v>
      </c>
      <c r="C1136" s="3" t="s">
        <v>150</v>
      </c>
      <c r="D1136" s="4">
        <v>20312967</v>
      </c>
      <c r="E1136" s="3" t="s">
        <v>289</v>
      </c>
      <c r="F1136" s="4">
        <v>1</v>
      </c>
      <c r="G1136" s="5">
        <v>176</v>
      </c>
      <c r="H1136" s="5">
        <f t="shared" si="17"/>
        <v>176</v>
      </c>
    </row>
    <row r="1137" customFormat="1" hidden="1" spans="1:8">
      <c r="A1137" s="2">
        <v>46170</v>
      </c>
      <c r="B1137" s="3">
        <v>1607104</v>
      </c>
      <c r="C1137" s="3" t="s">
        <v>156</v>
      </c>
      <c r="D1137" s="4">
        <v>20322243</v>
      </c>
      <c r="E1137" s="3" t="s">
        <v>117</v>
      </c>
      <c r="F1137" s="4">
        <v>2</v>
      </c>
      <c r="G1137" s="5">
        <v>30</v>
      </c>
      <c r="H1137" s="5">
        <f t="shared" si="17"/>
        <v>60</v>
      </c>
    </row>
    <row r="1138" customFormat="1" hidden="1" spans="1:8">
      <c r="A1138" s="2">
        <v>46170</v>
      </c>
      <c r="B1138" s="3">
        <v>1607104</v>
      </c>
      <c r="C1138" s="3" t="s">
        <v>156</v>
      </c>
      <c r="D1138" s="4">
        <v>20322304</v>
      </c>
      <c r="E1138" s="3" t="s">
        <v>275</v>
      </c>
      <c r="F1138" s="4">
        <v>7</v>
      </c>
      <c r="G1138" s="5">
        <v>25</v>
      </c>
      <c r="H1138" s="5">
        <f t="shared" si="17"/>
        <v>175</v>
      </c>
    </row>
    <row r="1139" customFormat="1" hidden="1" spans="1:8">
      <c r="A1139" s="2">
        <v>46170</v>
      </c>
      <c r="B1139" s="3">
        <v>1607104</v>
      </c>
      <c r="C1139" s="3" t="s">
        <v>156</v>
      </c>
      <c r="D1139" s="4">
        <v>20330757</v>
      </c>
      <c r="E1139" s="3" t="s">
        <v>288</v>
      </c>
      <c r="F1139" s="4">
        <v>3</v>
      </c>
      <c r="G1139" s="5">
        <v>35</v>
      </c>
      <c r="H1139" s="5">
        <f t="shared" si="17"/>
        <v>105</v>
      </c>
    </row>
    <row r="1140" customFormat="1" hidden="1" spans="1:8">
      <c r="A1140" s="2">
        <v>46170</v>
      </c>
      <c r="B1140" s="3">
        <v>1607104</v>
      </c>
      <c r="C1140" s="3" t="s">
        <v>153</v>
      </c>
      <c r="D1140" s="4">
        <v>20321257</v>
      </c>
      <c r="E1140" s="3" t="s">
        <v>68</v>
      </c>
      <c r="F1140" s="4">
        <v>6</v>
      </c>
      <c r="G1140" s="5">
        <v>16.5</v>
      </c>
      <c r="H1140" s="5">
        <f t="shared" si="17"/>
        <v>99</v>
      </c>
    </row>
    <row r="1141" customFormat="1" hidden="1" spans="1:8">
      <c r="A1141" s="2">
        <v>46170</v>
      </c>
      <c r="B1141" s="3">
        <v>1607104</v>
      </c>
      <c r="C1141" s="3" t="s">
        <v>153</v>
      </c>
      <c r="D1141" s="4">
        <v>20318380</v>
      </c>
      <c r="E1141" s="3" t="s">
        <v>232</v>
      </c>
      <c r="F1141" s="4">
        <v>2</v>
      </c>
      <c r="G1141" s="5">
        <v>16.5</v>
      </c>
      <c r="H1141" s="5">
        <f t="shared" si="17"/>
        <v>33</v>
      </c>
    </row>
    <row r="1142" customFormat="1" hidden="1" spans="1:8">
      <c r="A1142" s="2">
        <v>46170</v>
      </c>
      <c r="B1142" s="3">
        <v>1607104</v>
      </c>
      <c r="C1142" s="3" t="s">
        <v>153</v>
      </c>
      <c r="D1142" s="4">
        <v>20318379</v>
      </c>
      <c r="E1142" s="3" t="s">
        <v>127</v>
      </c>
      <c r="F1142" s="4">
        <v>1</v>
      </c>
      <c r="G1142" s="5">
        <v>16.5</v>
      </c>
      <c r="H1142" s="5">
        <f t="shared" si="17"/>
        <v>16.5</v>
      </c>
    </row>
    <row r="1143" customFormat="1" hidden="1" spans="1:8">
      <c r="A1143" s="2">
        <v>46170</v>
      </c>
      <c r="B1143" s="3">
        <v>1607105</v>
      </c>
      <c r="C1143" s="3" t="s">
        <v>150</v>
      </c>
      <c r="D1143" s="4">
        <v>20321719</v>
      </c>
      <c r="E1143" s="3" t="s">
        <v>163</v>
      </c>
      <c r="F1143" s="4">
        <v>1</v>
      </c>
      <c r="G1143" s="5">
        <v>49.5</v>
      </c>
      <c r="H1143" s="5">
        <f t="shared" si="17"/>
        <v>49.5</v>
      </c>
    </row>
    <row r="1144" customFormat="1" hidden="1" spans="1:8">
      <c r="A1144" s="2">
        <v>46170</v>
      </c>
      <c r="B1144" s="3">
        <v>1607162</v>
      </c>
      <c r="C1144" s="3" t="s">
        <v>150</v>
      </c>
      <c r="D1144" s="4">
        <v>20318353</v>
      </c>
      <c r="E1144" s="3" t="s">
        <v>235</v>
      </c>
      <c r="F1144" s="4">
        <v>1</v>
      </c>
      <c r="G1144" s="5">
        <v>66</v>
      </c>
      <c r="H1144" s="5">
        <f t="shared" si="17"/>
        <v>66</v>
      </c>
    </row>
    <row r="1145" customFormat="1" hidden="1" spans="1:8">
      <c r="A1145" s="2">
        <v>46170</v>
      </c>
      <c r="B1145" s="3">
        <v>1607162</v>
      </c>
      <c r="C1145" s="3" t="s">
        <v>150</v>
      </c>
      <c r="D1145" s="4">
        <v>20312966</v>
      </c>
      <c r="E1145" s="3" t="s">
        <v>258</v>
      </c>
      <c r="F1145" s="4">
        <v>3</v>
      </c>
      <c r="G1145" s="5">
        <v>159.5</v>
      </c>
      <c r="H1145" s="5">
        <f t="shared" si="17"/>
        <v>478.5</v>
      </c>
    </row>
    <row r="1146" customFormat="1" hidden="1" spans="1:8">
      <c r="A1146" s="2">
        <v>46170</v>
      </c>
      <c r="B1146" s="3">
        <v>1607162</v>
      </c>
      <c r="C1146" s="3" t="s">
        <v>150</v>
      </c>
      <c r="D1146" s="4">
        <v>20327194</v>
      </c>
      <c r="E1146" s="3" t="s">
        <v>265</v>
      </c>
      <c r="F1146" s="4">
        <v>1</v>
      </c>
      <c r="G1146" s="5">
        <v>27.5</v>
      </c>
      <c r="H1146" s="5">
        <f t="shared" si="17"/>
        <v>27.5</v>
      </c>
    </row>
    <row r="1147" customFormat="1" hidden="1" spans="1:8">
      <c r="A1147" s="2">
        <v>46170</v>
      </c>
      <c r="B1147" s="3">
        <v>1607162</v>
      </c>
      <c r="C1147" s="3" t="s">
        <v>150</v>
      </c>
      <c r="D1147" s="4">
        <v>20312965</v>
      </c>
      <c r="E1147" s="3" t="s">
        <v>112</v>
      </c>
      <c r="F1147" s="4">
        <v>2</v>
      </c>
      <c r="G1147" s="5">
        <v>137.5</v>
      </c>
      <c r="H1147" s="5">
        <f t="shared" si="17"/>
        <v>275</v>
      </c>
    </row>
    <row r="1148" customFormat="1" hidden="1" spans="1:8">
      <c r="A1148" s="2">
        <v>46170</v>
      </c>
      <c r="B1148" s="3">
        <v>1607162</v>
      </c>
      <c r="C1148" s="3" t="s">
        <v>150</v>
      </c>
      <c r="D1148" s="4">
        <v>20312967</v>
      </c>
      <c r="E1148" s="3" t="s">
        <v>289</v>
      </c>
      <c r="F1148" s="4">
        <v>1</v>
      </c>
      <c r="G1148" s="5">
        <v>176</v>
      </c>
      <c r="H1148" s="5">
        <f t="shared" si="17"/>
        <v>176</v>
      </c>
    </row>
    <row r="1149" customFormat="1" hidden="1" spans="1:8">
      <c r="A1149" s="2">
        <v>46170</v>
      </c>
      <c r="B1149" s="3">
        <v>1607162</v>
      </c>
      <c r="C1149" s="3" t="s">
        <v>151</v>
      </c>
      <c r="D1149" s="4">
        <v>20318363</v>
      </c>
      <c r="E1149" s="3" t="s">
        <v>94</v>
      </c>
      <c r="F1149" s="4">
        <v>1</v>
      </c>
      <c r="G1149" s="5">
        <v>8</v>
      </c>
      <c r="H1149" s="5">
        <f t="shared" si="17"/>
        <v>8</v>
      </c>
    </row>
    <row r="1150" customFormat="1" hidden="1" spans="1:8">
      <c r="A1150" s="2">
        <v>46170</v>
      </c>
      <c r="B1150" s="3">
        <v>1607162</v>
      </c>
      <c r="C1150" s="3" t="s">
        <v>153</v>
      </c>
      <c r="D1150" s="4">
        <v>20321257</v>
      </c>
      <c r="E1150" s="3" t="s">
        <v>68</v>
      </c>
      <c r="F1150" s="4">
        <v>3</v>
      </c>
      <c r="G1150" s="5">
        <v>16.5</v>
      </c>
      <c r="H1150" s="5">
        <f t="shared" si="17"/>
        <v>49.5</v>
      </c>
    </row>
    <row r="1151" customFormat="1" hidden="1" spans="1:8">
      <c r="A1151" s="2">
        <v>46170</v>
      </c>
      <c r="B1151" s="3">
        <v>1607162</v>
      </c>
      <c r="C1151" s="3" t="s">
        <v>153</v>
      </c>
      <c r="D1151" s="4">
        <v>20335601</v>
      </c>
      <c r="E1151" s="3" t="s">
        <v>200</v>
      </c>
      <c r="F1151" s="4">
        <v>1</v>
      </c>
      <c r="G1151" s="5">
        <v>16.5</v>
      </c>
      <c r="H1151" s="5">
        <f t="shared" si="17"/>
        <v>16.5</v>
      </c>
    </row>
    <row r="1152" customFormat="1" hidden="1" spans="1:8">
      <c r="A1152" s="2">
        <v>46170</v>
      </c>
      <c r="B1152" s="3">
        <v>1607162</v>
      </c>
      <c r="C1152" s="3" t="s">
        <v>153</v>
      </c>
      <c r="D1152" s="4">
        <v>20318397</v>
      </c>
      <c r="E1152" s="3" t="s">
        <v>222</v>
      </c>
      <c r="F1152" s="4">
        <v>1</v>
      </c>
      <c r="G1152" s="5">
        <v>16.5</v>
      </c>
      <c r="H1152" s="5">
        <f t="shared" si="17"/>
        <v>16.5</v>
      </c>
    </row>
    <row r="1153" customFormat="1" hidden="1" spans="1:8">
      <c r="A1153" s="2">
        <v>46170</v>
      </c>
      <c r="B1153" s="3">
        <v>1607162</v>
      </c>
      <c r="C1153" s="3" t="s">
        <v>153</v>
      </c>
      <c r="D1153" s="4">
        <v>20343399</v>
      </c>
      <c r="E1153" s="3" t="s">
        <v>228</v>
      </c>
      <c r="F1153" s="4">
        <v>1</v>
      </c>
      <c r="G1153" s="5">
        <v>33</v>
      </c>
      <c r="H1153" s="5">
        <f t="shared" si="17"/>
        <v>33</v>
      </c>
    </row>
    <row r="1154" customFormat="1" hidden="1" spans="1:8">
      <c r="A1154" s="2">
        <v>46170</v>
      </c>
      <c r="B1154" s="3">
        <v>1607162</v>
      </c>
      <c r="C1154" s="3" t="s">
        <v>153</v>
      </c>
      <c r="D1154" s="4">
        <v>20318380</v>
      </c>
      <c r="E1154" s="3" t="s">
        <v>232</v>
      </c>
      <c r="F1154" s="4">
        <v>1</v>
      </c>
      <c r="G1154" s="5">
        <v>16.5</v>
      </c>
      <c r="H1154" s="5">
        <f t="shared" ref="H1154:H1217" si="18">G1154*F1154</f>
        <v>16.5</v>
      </c>
    </row>
    <row r="1155" customFormat="1" hidden="1" spans="1:8">
      <c r="A1155" s="2">
        <v>46170</v>
      </c>
      <c r="B1155" s="3">
        <v>1607162</v>
      </c>
      <c r="C1155" s="3" t="s">
        <v>153</v>
      </c>
      <c r="D1155" s="4">
        <v>20318340</v>
      </c>
      <c r="E1155" s="3" t="s">
        <v>240</v>
      </c>
      <c r="F1155" s="4">
        <v>1</v>
      </c>
      <c r="G1155" s="5">
        <v>16.5</v>
      </c>
      <c r="H1155" s="5">
        <f t="shared" si="18"/>
        <v>16.5</v>
      </c>
    </row>
    <row r="1156" customFormat="1" hidden="1" spans="1:8">
      <c r="A1156" s="2">
        <v>46170</v>
      </c>
      <c r="B1156" s="3">
        <v>1607162</v>
      </c>
      <c r="C1156" s="3" t="s">
        <v>153</v>
      </c>
      <c r="D1156" s="4">
        <v>20321250</v>
      </c>
      <c r="E1156" s="3" t="s">
        <v>259</v>
      </c>
      <c r="F1156" s="4">
        <v>1</v>
      </c>
      <c r="G1156" s="5">
        <v>16.5</v>
      </c>
      <c r="H1156" s="5">
        <f t="shared" si="18"/>
        <v>16.5</v>
      </c>
    </row>
    <row r="1157" customFormat="1" hidden="1" spans="1:8">
      <c r="A1157" s="2">
        <v>46170</v>
      </c>
      <c r="B1157" s="3">
        <v>1607162</v>
      </c>
      <c r="C1157" s="3" t="s">
        <v>153</v>
      </c>
      <c r="D1157" s="4">
        <v>20340289</v>
      </c>
      <c r="E1157" s="3" t="s">
        <v>272</v>
      </c>
      <c r="F1157" s="4">
        <v>2</v>
      </c>
      <c r="G1157" s="5">
        <v>16.5</v>
      </c>
      <c r="H1157" s="5">
        <f t="shared" si="18"/>
        <v>33</v>
      </c>
    </row>
    <row r="1158" customFormat="1" hidden="1" spans="1:8">
      <c r="A1158" s="2">
        <v>46170</v>
      </c>
      <c r="B1158" s="3">
        <v>1607162</v>
      </c>
      <c r="C1158" s="3" t="s">
        <v>153</v>
      </c>
      <c r="D1158" s="4">
        <v>20318379</v>
      </c>
      <c r="E1158" s="3" t="s">
        <v>127</v>
      </c>
      <c r="F1158" s="4">
        <v>1</v>
      </c>
      <c r="G1158" s="5">
        <v>16.5</v>
      </c>
      <c r="H1158" s="5">
        <f t="shared" si="18"/>
        <v>16.5</v>
      </c>
    </row>
    <row r="1159" customFormat="1" hidden="1" spans="1:8">
      <c r="A1159" s="2">
        <v>46170</v>
      </c>
      <c r="B1159" s="3">
        <v>1607162</v>
      </c>
      <c r="C1159" s="3" t="s">
        <v>153</v>
      </c>
      <c r="D1159" s="4">
        <v>20318336</v>
      </c>
      <c r="E1159" s="3" t="s">
        <v>303</v>
      </c>
      <c r="F1159" s="4">
        <v>2</v>
      </c>
      <c r="G1159" s="5">
        <v>16.5</v>
      </c>
      <c r="H1159" s="5">
        <f t="shared" si="18"/>
        <v>33</v>
      </c>
    </row>
    <row r="1160" customFormat="1" hidden="1" spans="1:8">
      <c r="A1160" s="2">
        <v>46170</v>
      </c>
      <c r="B1160" s="3">
        <v>1607188</v>
      </c>
      <c r="C1160" s="3" t="s">
        <v>150</v>
      </c>
      <c r="D1160" s="4">
        <v>20321252</v>
      </c>
      <c r="E1160" s="3" t="s">
        <v>162</v>
      </c>
      <c r="F1160" s="4">
        <v>1</v>
      </c>
      <c r="G1160" s="5">
        <v>49.5</v>
      </c>
      <c r="H1160" s="5">
        <f t="shared" si="18"/>
        <v>49.5</v>
      </c>
    </row>
    <row r="1161" customFormat="1" hidden="1" spans="1:8">
      <c r="A1161" s="2">
        <v>46170</v>
      </c>
      <c r="B1161" s="3">
        <v>1607188</v>
      </c>
      <c r="C1161" s="3" t="s">
        <v>150</v>
      </c>
      <c r="D1161" s="4">
        <v>20312966</v>
      </c>
      <c r="E1161" s="3" t="s">
        <v>258</v>
      </c>
      <c r="F1161" s="4">
        <v>3</v>
      </c>
      <c r="G1161" s="5">
        <v>159.5</v>
      </c>
      <c r="H1161" s="5">
        <f t="shared" si="18"/>
        <v>478.5</v>
      </c>
    </row>
    <row r="1162" customFormat="1" hidden="1" spans="1:8">
      <c r="A1162" s="2">
        <v>46170</v>
      </c>
      <c r="B1162" s="3">
        <v>1607188</v>
      </c>
      <c r="C1162" s="3" t="s">
        <v>150</v>
      </c>
      <c r="D1162" s="4">
        <v>20327195</v>
      </c>
      <c r="E1162" s="3" t="s">
        <v>268</v>
      </c>
      <c r="F1162" s="4">
        <v>1</v>
      </c>
      <c r="G1162" s="5">
        <v>44</v>
      </c>
      <c r="H1162" s="5">
        <f t="shared" si="18"/>
        <v>44</v>
      </c>
    </row>
    <row r="1163" customFormat="1" hidden="1" spans="1:8">
      <c r="A1163" s="2">
        <v>46170</v>
      </c>
      <c r="B1163" s="3">
        <v>1607188</v>
      </c>
      <c r="C1163" s="3" t="s">
        <v>150</v>
      </c>
      <c r="D1163" s="4">
        <v>20312965</v>
      </c>
      <c r="E1163" s="3" t="s">
        <v>112</v>
      </c>
      <c r="F1163" s="4">
        <v>1</v>
      </c>
      <c r="G1163" s="5">
        <v>137.5</v>
      </c>
      <c r="H1163" s="5">
        <f t="shared" si="18"/>
        <v>137.5</v>
      </c>
    </row>
    <row r="1164" customFormat="1" hidden="1" spans="1:8">
      <c r="A1164" s="2">
        <v>46170</v>
      </c>
      <c r="B1164" s="3">
        <v>1607188</v>
      </c>
      <c r="C1164" s="3" t="s">
        <v>150</v>
      </c>
      <c r="D1164" s="4">
        <v>20312967</v>
      </c>
      <c r="E1164" s="3" t="s">
        <v>289</v>
      </c>
      <c r="F1164" s="4">
        <v>4</v>
      </c>
      <c r="G1164" s="5">
        <v>176</v>
      </c>
      <c r="H1164" s="5">
        <f t="shared" si="18"/>
        <v>704</v>
      </c>
    </row>
    <row r="1165" customFormat="1" hidden="1" spans="1:8">
      <c r="A1165" s="2">
        <v>46170</v>
      </c>
      <c r="B1165" s="3">
        <v>1607244</v>
      </c>
      <c r="C1165" s="3" t="s">
        <v>150</v>
      </c>
      <c r="D1165" s="4">
        <v>20380117</v>
      </c>
      <c r="E1165" s="3" t="s">
        <v>225</v>
      </c>
      <c r="F1165" s="4">
        <v>1</v>
      </c>
      <c r="G1165" s="5">
        <v>49.5</v>
      </c>
      <c r="H1165" s="5">
        <f t="shared" si="18"/>
        <v>49.5</v>
      </c>
    </row>
    <row r="1166" customFormat="1" hidden="1" spans="1:8">
      <c r="A1166" s="2">
        <v>46170</v>
      </c>
      <c r="B1166" s="3">
        <v>1607244</v>
      </c>
      <c r="C1166" s="3" t="s">
        <v>150</v>
      </c>
      <c r="D1166" s="4">
        <v>20312966</v>
      </c>
      <c r="E1166" s="3" t="s">
        <v>258</v>
      </c>
      <c r="F1166" s="4">
        <v>1</v>
      </c>
      <c r="G1166" s="5">
        <v>159.5</v>
      </c>
      <c r="H1166" s="5">
        <f t="shared" si="18"/>
        <v>159.5</v>
      </c>
    </row>
    <row r="1167" customFormat="1" hidden="1" spans="1:8">
      <c r="A1167" s="2">
        <v>46170</v>
      </c>
      <c r="B1167" s="3">
        <v>1607244</v>
      </c>
      <c r="C1167" s="3" t="s">
        <v>150</v>
      </c>
      <c r="D1167" s="4">
        <v>20312965</v>
      </c>
      <c r="E1167" s="3" t="s">
        <v>112</v>
      </c>
      <c r="F1167" s="4">
        <v>3</v>
      </c>
      <c r="G1167" s="5">
        <v>137.5</v>
      </c>
      <c r="H1167" s="5">
        <f t="shared" si="18"/>
        <v>412.5</v>
      </c>
    </row>
    <row r="1168" customFormat="1" hidden="1" spans="1:8">
      <c r="A1168" s="2">
        <v>46170</v>
      </c>
      <c r="B1168" s="3">
        <v>1607244</v>
      </c>
      <c r="C1168" s="3" t="s">
        <v>150</v>
      </c>
      <c r="D1168" s="4">
        <v>20312967</v>
      </c>
      <c r="E1168" s="3" t="s">
        <v>289</v>
      </c>
      <c r="F1168" s="4">
        <v>3</v>
      </c>
      <c r="G1168" s="5">
        <v>176</v>
      </c>
      <c r="H1168" s="5">
        <f t="shared" si="18"/>
        <v>528</v>
      </c>
    </row>
    <row r="1169" customFormat="1" hidden="1" spans="1:8">
      <c r="A1169" s="2">
        <v>46170</v>
      </c>
      <c r="B1169" s="3">
        <v>1607244</v>
      </c>
      <c r="C1169" s="3" t="s">
        <v>150</v>
      </c>
      <c r="D1169" s="4">
        <v>20321251</v>
      </c>
      <c r="E1169" s="3" t="s">
        <v>311</v>
      </c>
      <c r="F1169" s="4">
        <v>1</v>
      </c>
      <c r="G1169" s="5">
        <v>187</v>
      </c>
      <c r="H1169" s="5">
        <f t="shared" si="18"/>
        <v>187</v>
      </c>
    </row>
    <row r="1170" customFormat="1" hidden="1" spans="1:8">
      <c r="A1170" s="2">
        <v>46170</v>
      </c>
      <c r="B1170" s="3">
        <v>1607244</v>
      </c>
      <c r="C1170" s="3" t="s">
        <v>151</v>
      </c>
      <c r="D1170" s="4">
        <v>20353558</v>
      </c>
      <c r="E1170" s="3" t="s">
        <v>221</v>
      </c>
      <c r="F1170" s="4">
        <v>1</v>
      </c>
      <c r="G1170" s="5">
        <v>8</v>
      </c>
      <c r="H1170" s="5">
        <f t="shared" si="18"/>
        <v>8</v>
      </c>
    </row>
    <row r="1171" customFormat="1" hidden="1" spans="1:8">
      <c r="A1171" s="2">
        <v>46170</v>
      </c>
      <c r="B1171" s="3">
        <v>1607244</v>
      </c>
      <c r="C1171" s="3" t="s">
        <v>151</v>
      </c>
      <c r="D1171" s="4">
        <v>20337609</v>
      </c>
      <c r="E1171" s="3" t="s">
        <v>267</v>
      </c>
      <c r="F1171" s="4">
        <v>2</v>
      </c>
      <c r="G1171" s="5">
        <v>8</v>
      </c>
      <c r="H1171" s="5">
        <f t="shared" si="18"/>
        <v>16</v>
      </c>
    </row>
    <row r="1172" customFormat="1" hidden="1" spans="1:8">
      <c r="A1172" s="2">
        <v>46170</v>
      </c>
      <c r="B1172" s="3">
        <v>1607244</v>
      </c>
      <c r="C1172" s="3" t="s">
        <v>156</v>
      </c>
      <c r="D1172" s="4">
        <v>20322235</v>
      </c>
      <c r="E1172" s="3" t="s">
        <v>111</v>
      </c>
      <c r="F1172" s="4">
        <v>8</v>
      </c>
      <c r="G1172" s="5">
        <v>2.5</v>
      </c>
      <c r="H1172" s="5">
        <f t="shared" si="18"/>
        <v>20</v>
      </c>
    </row>
    <row r="1173" customFormat="1" hidden="1" spans="1:8">
      <c r="A1173" s="2">
        <v>46170</v>
      </c>
      <c r="B1173" s="3">
        <v>1607244</v>
      </c>
      <c r="C1173" s="3" t="s">
        <v>156</v>
      </c>
      <c r="D1173" s="4">
        <v>20322234</v>
      </c>
      <c r="E1173" s="3" t="s">
        <v>274</v>
      </c>
      <c r="F1173" s="4">
        <v>18</v>
      </c>
      <c r="G1173" s="5">
        <v>2.5</v>
      </c>
      <c r="H1173" s="5">
        <f t="shared" si="18"/>
        <v>45</v>
      </c>
    </row>
    <row r="1174" customFormat="1" hidden="1" spans="1:8">
      <c r="A1174" s="2">
        <v>46170</v>
      </c>
      <c r="B1174" s="3">
        <v>1607244</v>
      </c>
      <c r="C1174" s="3" t="s">
        <v>156</v>
      </c>
      <c r="D1174" s="4">
        <v>20330757</v>
      </c>
      <c r="E1174" s="3" t="s">
        <v>288</v>
      </c>
      <c r="F1174" s="4">
        <v>2</v>
      </c>
      <c r="G1174" s="5">
        <v>35</v>
      </c>
      <c r="H1174" s="5">
        <f t="shared" si="18"/>
        <v>70</v>
      </c>
    </row>
    <row r="1175" customFormat="1" hidden="1" spans="1:8">
      <c r="A1175" s="2">
        <v>46170</v>
      </c>
      <c r="B1175" s="3">
        <v>1607244</v>
      </c>
      <c r="C1175" s="3" t="s">
        <v>156</v>
      </c>
      <c r="D1175" s="4">
        <v>20323697</v>
      </c>
      <c r="E1175" s="3" t="s">
        <v>290</v>
      </c>
      <c r="F1175" s="4">
        <v>2</v>
      </c>
      <c r="G1175" s="5">
        <v>4</v>
      </c>
      <c r="H1175" s="5">
        <f t="shared" si="18"/>
        <v>8</v>
      </c>
    </row>
    <row r="1176" customFormat="1" hidden="1" spans="1:8">
      <c r="A1176" s="2">
        <v>46170</v>
      </c>
      <c r="B1176" s="3">
        <v>1607244</v>
      </c>
      <c r="C1176" s="3" t="s">
        <v>153</v>
      </c>
      <c r="D1176" s="4">
        <v>20318361</v>
      </c>
      <c r="E1176" s="3" t="s">
        <v>185</v>
      </c>
      <c r="F1176" s="4">
        <v>1</v>
      </c>
      <c r="G1176" s="5">
        <v>16.5</v>
      </c>
      <c r="H1176" s="5">
        <f t="shared" si="18"/>
        <v>16.5</v>
      </c>
    </row>
    <row r="1177" customFormat="1" hidden="1" spans="1:8">
      <c r="A1177" s="2">
        <v>46170</v>
      </c>
      <c r="B1177" s="3">
        <v>1607244</v>
      </c>
      <c r="C1177" s="3" t="s">
        <v>153</v>
      </c>
      <c r="D1177" s="4">
        <v>20318334</v>
      </c>
      <c r="E1177" s="3" t="s">
        <v>186</v>
      </c>
      <c r="F1177" s="4">
        <v>2</v>
      </c>
      <c r="G1177" s="5">
        <v>16.5</v>
      </c>
      <c r="H1177" s="5">
        <f t="shared" si="18"/>
        <v>33</v>
      </c>
    </row>
    <row r="1178" customFormat="1" hidden="1" spans="1:8">
      <c r="A1178" s="2">
        <v>46170</v>
      </c>
      <c r="B1178" s="3">
        <v>1607244</v>
      </c>
      <c r="C1178" s="3" t="s">
        <v>153</v>
      </c>
      <c r="D1178" s="4">
        <v>20014824</v>
      </c>
      <c r="E1178" s="3" t="s">
        <v>85</v>
      </c>
      <c r="F1178" s="4">
        <v>1</v>
      </c>
      <c r="G1178" s="5">
        <v>16.5</v>
      </c>
      <c r="H1178" s="5">
        <f t="shared" si="18"/>
        <v>16.5</v>
      </c>
    </row>
    <row r="1179" customFormat="1" hidden="1" spans="1:8">
      <c r="A1179" s="2">
        <v>46170</v>
      </c>
      <c r="B1179" s="3">
        <v>1607244</v>
      </c>
      <c r="C1179" s="3" t="s">
        <v>153</v>
      </c>
      <c r="D1179" s="4">
        <v>20343399</v>
      </c>
      <c r="E1179" s="3" t="s">
        <v>228</v>
      </c>
      <c r="F1179" s="4">
        <v>1</v>
      </c>
      <c r="G1179" s="5">
        <v>33</v>
      </c>
      <c r="H1179" s="5">
        <f t="shared" si="18"/>
        <v>33</v>
      </c>
    </row>
    <row r="1180" customFormat="1" hidden="1" spans="1:8">
      <c r="A1180" s="2">
        <v>46170</v>
      </c>
      <c r="B1180" s="3">
        <v>1607244</v>
      </c>
      <c r="C1180" s="3" t="s">
        <v>153</v>
      </c>
      <c r="D1180" s="4">
        <v>20321250</v>
      </c>
      <c r="E1180" s="3" t="s">
        <v>259</v>
      </c>
      <c r="F1180" s="4">
        <v>3</v>
      </c>
      <c r="G1180" s="5">
        <v>16.5</v>
      </c>
      <c r="H1180" s="5">
        <f t="shared" si="18"/>
        <v>49.5</v>
      </c>
    </row>
    <row r="1181" customFormat="1" hidden="1" spans="1:8">
      <c r="A1181" s="2">
        <v>46170</v>
      </c>
      <c r="B1181" s="3">
        <v>1607244</v>
      </c>
      <c r="C1181" s="3" t="s">
        <v>153</v>
      </c>
      <c r="D1181" s="4">
        <v>20383164</v>
      </c>
      <c r="E1181" s="3" t="s">
        <v>273</v>
      </c>
      <c r="F1181" s="4">
        <v>1</v>
      </c>
      <c r="G1181" s="5">
        <v>22</v>
      </c>
      <c r="H1181" s="5">
        <f t="shared" si="18"/>
        <v>22</v>
      </c>
    </row>
    <row r="1182" customFormat="1" hidden="1" spans="1:8">
      <c r="A1182" s="2">
        <v>46170</v>
      </c>
      <c r="B1182" s="3">
        <v>1607244</v>
      </c>
      <c r="C1182" s="3" t="s">
        <v>153</v>
      </c>
      <c r="D1182" s="4">
        <v>20318342</v>
      </c>
      <c r="E1182" s="3" t="s">
        <v>304</v>
      </c>
      <c r="F1182" s="4">
        <v>1</v>
      </c>
      <c r="G1182" s="5">
        <v>16.5</v>
      </c>
      <c r="H1182" s="5">
        <f t="shared" si="18"/>
        <v>16.5</v>
      </c>
    </row>
    <row r="1183" customFormat="1" hidden="1" spans="1:8">
      <c r="A1183" s="2">
        <v>46170</v>
      </c>
      <c r="B1183" s="3">
        <v>1607288</v>
      </c>
      <c r="C1183" s="3" t="s">
        <v>150</v>
      </c>
      <c r="D1183" s="4">
        <v>20365495</v>
      </c>
      <c r="E1183" s="3" t="s">
        <v>249</v>
      </c>
      <c r="F1183" s="4">
        <v>1</v>
      </c>
      <c r="G1183" s="5">
        <v>154</v>
      </c>
      <c r="H1183" s="5">
        <f t="shared" si="18"/>
        <v>154</v>
      </c>
    </row>
    <row r="1184" customFormat="1" hidden="1" spans="1:8">
      <c r="A1184" s="2">
        <v>46170</v>
      </c>
      <c r="B1184" s="3">
        <v>1607288</v>
      </c>
      <c r="C1184" s="3" t="s">
        <v>150</v>
      </c>
      <c r="D1184" s="4">
        <v>20312966</v>
      </c>
      <c r="E1184" s="3" t="s">
        <v>258</v>
      </c>
      <c r="F1184" s="4">
        <v>5</v>
      </c>
      <c r="G1184" s="5">
        <v>159.5</v>
      </c>
      <c r="H1184" s="5">
        <f t="shared" si="18"/>
        <v>797.5</v>
      </c>
    </row>
    <row r="1185" customFormat="1" hidden="1" spans="1:8">
      <c r="A1185" s="2">
        <v>46170</v>
      </c>
      <c r="B1185" s="3">
        <v>1607288</v>
      </c>
      <c r="C1185" s="3" t="s">
        <v>150</v>
      </c>
      <c r="D1185" s="4">
        <v>20312965</v>
      </c>
      <c r="E1185" s="3" t="s">
        <v>112</v>
      </c>
      <c r="F1185" s="4">
        <v>6</v>
      </c>
      <c r="G1185" s="5">
        <v>137.5</v>
      </c>
      <c r="H1185" s="5">
        <f t="shared" si="18"/>
        <v>825</v>
      </c>
    </row>
    <row r="1186" customFormat="1" hidden="1" spans="1:8">
      <c r="A1186" s="2">
        <v>46170</v>
      </c>
      <c r="B1186" s="3">
        <v>1607288</v>
      </c>
      <c r="C1186" s="3" t="s">
        <v>150</v>
      </c>
      <c r="D1186" s="4">
        <v>20312967</v>
      </c>
      <c r="E1186" s="3" t="s">
        <v>289</v>
      </c>
      <c r="F1186" s="4">
        <v>10</v>
      </c>
      <c r="G1186" s="5">
        <v>176</v>
      </c>
      <c r="H1186" s="5">
        <f t="shared" si="18"/>
        <v>1760</v>
      </c>
    </row>
    <row r="1187" customFormat="1" hidden="1" spans="1:8">
      <c r="A1187" s="2">
        <v>46170</v>
      </c>
      <c r="B1187" s="3">
        <v>1607288</v>
      </c>
      <c r="C1187" s="3" t="s">
        <v>150</v>
      </c>
      <c r="D1187" s="4">
        <v>20424417</v>
      </c>
      <c r="E1187" s="3" t="s">
        <v>312</v>
      </c>
      <c r="F1187" s="4">
        <v>1</v>
      </c>
      <c r="G1187" s="5">
        <v>66</v>
      </c>
      <c r="H1187" s="5">
        <f t="shared" si="18"/>
        <v>66</v>
      </c>
    </row>
    <row r="1188" customFormat="1" hidden="1" spans="1:8">
      <c r="A1188" s="2">
        <v>46170</v>
      </c>
      <c r="B1188" s="3">
        <v>1607288</v>
      </c>
      <c r="C1188" s="3" t="s">
        <v>151</v>
      </c>
      <c r="D1188" s="4">
        <v>20354360</v>
      </c>
      <c r="E1188" s="3" t="s">
        <v>177</v>
      </c>
      <c r="F1188" s="4">
        <v>1</v>
      </c>
      <c r="G1188" s="5">
        <v>13.5</v>
      </c>
      <c r="H1188" s="5">
        <f t="shared" si="18"/>
        <v>13.5</v>
      </c>
    </row>
    <row r="1189" customFormat="1" hidden="1" spans="1:8">
      <c r="A1189" s="2">
        <v>46170</v>
      </c>
      <c r="B1189" s="3">
        <v>1607288</v>
      </c>
      <c r="C1189" s="3" t="s">
        <v>151</v>
      </c>
      <c r="D1189" s="4">
        <v>20318395</v>
      </c>
      <c r="E1189" s="3" t="s">
        <v>309</v>
      </c>
      <c r="F1189" s="4">
        <v>1</v>
      </c>
      <c r="G1189" s="5">
        <v>16.5</v>
      </c>
      <c r="H1189" s="5">
        <f t="shared" si="18"/>
        <v>16.5</v>
      </c>
    </row>
    <row r="1190" customFormat="1" hidden="1" spans="1:8">
      <c r="A1190" s="2">
        <v>46170</v>
      </c>
      <c r="B1190" s="3">
        <v>1607288</v>
      </c>
      <c r="C1190" s="3" t="s">
        <v>156</v>
      </c>
      <c r="D1190" s="4">
        <v>20330757</v>
      </c>
      <c r="E1190" s="3" t="s">
        <v>288</v>
      </c>
      <c r="F1190" s="4">
        <v>2</v>
      </c>
      <c r="G1190" s="5">
        <v>35</v>
      </c>
      <c r="H1190" s="5">
        <f t="shared" si="18"/>
        <v>70</v>
      </c>
    </row>
    <row r="1191" customFormat="1" hidden="1" spans="1:8">
      <c r="A1191" s="2">
        <v>46170</v>
      </c>
      <c r="B1191" s="3">
        <v>1607288</v>
      </c>
      <c r="C1191" s="3" t="s">
        <v>152</v>
      </c>
      <c r="D1191" s="4">
        <v>20366065</v>
      </c>
      <c r="E1191" s="3" t="s">
        <v>196</v>
      </c>
      <c r="F1191" s="4">
        <v>1</v>
      </c>
      <c r="G1191" s="5">
        <v>71.5</v>
      </c>
      <c r="H1191" s="5">
        <f t="shared" si="18"/>
        <v>71.5</v>
      </c>
    </row>
    <row r="1192" customFormat="1" hidden="1" spans="1:8">
      <c r="A1192" s="2">
        <v>46170</v>
      </c>
      <c r="B1192" s="3">
        <v>1607288</v>
      </c>
      <c r="C1192" s="3" t="s">
        <v>153</v>
      </c>
      <c r="D1192" s="4">
        <v>20318385</v>
      </c>
      <c r="E1192" s="3" t="s">
        <v>173</v>
      </c>
      <c r="F1192" s="4">
        <v>1</v>
      </c>
      <c r="G1192" s="5">
        <v>38.5</v>
      </c>
      <c r="H1192" s="5">
        <f t="shared" si="18"/>
        <v>38.5</v>
      </c>
    </row>
    <row r="1193" customFormat="1" hidden="1" spans="1:8">
      <c r="A1193" s="2">
        <v>46170</v>
      </c>
      <c r="B1193" s="3">
        <v>1607288</v>
      </c>
      <c r="C1193" s="3" t="s">
        <v>153</v>
      </c>
      <c r="D1193" s="4">
        <v>20318334</v>
      </c>
      <c r="E1193" s="3" t="s">
        <v>186</v>
      </c>
      <c r="F1193" s="4">
        <v>1</v>
      </c>
      <c r="G1193" s="5">
        <v>16.5</v>
      </c>
      <c r="H1193" s="5">
        <f t="shared" si="18"/>
        <v>16.5</v>
      </c>
    </row>
    <row r="1194" customFormat="1" hidden="1" spans="1:8">
      <c r="A1194" s="2">
        <v>46170</v>
      </c>
      <c r="B1194" s="3">
        <v>1607288</v>
      </c>
      <c r="C1194" s="3" t="s">
        <v>153</v>
      </c>
      <c r="D1194" s="4">
        <v>20427499</v>
      </c>
      <c r="E1194" s="3" t="s">
        <v>205</v>
      </c>
      <c r="F1194" s="4">
        <v>1</v>
      </c>
      <c r="G1194" s="5">
        <v>33</v>
      </c>
      <c r="H1194" s="5">
        <f t="shared" si="18"/>
        <v>33</v>
      </c>
    </row>
    <row r="1195" customFormat="1" hidden="1" spans="1:8">
      <c r="A1195" s="2">
        <v>46170</v>
      </c>
      <c r="B1195" s="3">
        <v>1607288</v>
      </c>
      <c r="C1195" s="3" t="s">
        <v>153</v>
      </c>
      <c r="D1195" s="4">
        <v>20318378</v>
      </c>
      <c r="E1195" s="3" t="s">
        <v>231</v>
      </c>
      <c r="F1195" s="4">
        <v>1</v>
      </c>
      <c r="G1195" s="5">
        <v>16.5</v>
      </c>
      <c r="H1195" s="5">
        <f t="shared" si="18"/>
        <v>16.5</v>
      </c>
    </row>
    <row r="1196" customFormat="1" hidden="1" spans="1:8">
      <c r="A1196" s="2">
        <v>46170</v>
      </c>
      <c r="B1196" s="3">
        <v>1607288</v>
      </c>
      <c r="C1196" s="3" t="s">
        <v>153</v>
      </c>
      <c r="D1196" s="4">
        <v>20318340</v>
      </c>
      <c r="E1196" s="3" t="s">
        <v>240</v>
      </c>
      <c r="F1196" s="4">
        <v>3</v>
      </c>
      <c r="G1196" s="5">
        <v>16.5</v>
      </c>
      <c r="H1196" s="5">
        <f t="shared" si="18"/>
        <v>49.5</v>
      </c>
    </row>
    <row r="1197" customFormat="1" hidden="1" spans="1:8">
      <c r="A1197" s="2">
        <v>46170</v>
      </c>
      <c r="B1197" s="3">
        <v>1607288</v>
      </c>
      <c r="C1197" s="3" t="s">
        <v>153</v>
      </c>
      <c r="D1197" s="4">
        <v>20340289</v>
      </c>
      <c r="E1197" s="3" t="s">
        <v>272</v>
      </c>
      <c r="F1197" s="4">
        <v>2</v>
      </c>
      <c r="G1197" s="5">
        <v>16.5</v>
      </c>
      <c r="H1197" s="5">
        <f t="shared" si="18"/>
        <v>33</v>
      </c>
    </row>
    <row r="1198" customFormat="1" hidden="1" spans="1:8">
      <c r="A1198" s="2">
        <v>46170</v>
      </c>
      <c r="B1198" s="3">
        <v>1607288</v>
      </c>
      <c r="C1198" s="3" t="s">
        <v>153</v>
      </c>
      <c r="D1198" s="4">
        <v>20318389</v>
      </c>
      <c r="E1198" s="3" t="s">
        <v>302</v>
      </c>
      <c r="F1198" s="4">
        <v>1</v>
      </c>
      <c r="G1198" s="5">
        <v>16.5</v>
      </c>
      <c r="H1198" s="5">
        <f t="shared" si="18"/>
        <v>16.5</v>
      </c>
    </row>
    <row r="1199" customFormat="1" hidden="1" spans="1:8">
      <c r="A1199" s="2">
        <v>46170</v>
      </c>
      <c r="B1199" s="3">
        <v>1607288</v>
      </c>
      <c r="C1199" s="3" t="s">
        <v>153</v>
      </c>
      <c r="D1199" s="4">
        <v>20318336</v>
      </c>
      <c r="E1199" s="3" t="s">
        <v>303</v>
      </c>
      <c r="F1199" s="4">
        <v>1</v>
      </c>
      <c r="G1199" s="5">
        <v>16.5</v>
      </c>
      <c r="H1199" s="5">
        <f t="shared" si="18"/>
        <v>16.5</v>
      </c>
    </row>
    <row r="1200" customFormat="1" hidden="1" spans="1:8">
      <c r="A1200" s="2">
        <v>46170</v>
      </c>
      <c r="B1200" s="3">
        <v>1607288</v>
      </c>
      <c r="C1200" s="3" t="s">
        <v>153</v>
      </c>
      <c r="D1200" s="4">
        <v>20318342</v>
      </c>
      <c r="E1200" s="3" t="s">
        <v>304</v>
      </c>
      <c r="F1200" s="4">
        <v>3</v>
      </c>
      <c r="G1200" s="5">
        <v>16.5</v>
      </c>
      <c r="H1200" s="5">
        <f t="shared" si="18"/>
        <v>49.5</v>
      </c>
    </row>
    <row r="1201" customFormat="1" hidden="1" spans="1:8">
      <c r="A1201" s="2">
        <v>46170</v>
      </c>
      <c r="B1201" s="3">
        <v>1607293</v>
      </c>
      <c r="C1201" s="3" t="s">
        <v>150</v>
      </c>
      <c r="D1201" s="4">
        <v>20312966</v>
      </c>
      <c r="E1201" s="3" t="s">
        <v>258</v>
      </c>
      <c r="F1201" s="4">
        <v>4</v>
      </c>
      <c r="G1201" s="5">
        <v>159.5</v>
      </c>
      <c r="H1201" s="5">
        <f t="shared" si="18"/>
        <v>638</v>
      </c>
    </row>
    <row r="1202" customFormat="1" hidden="1" spans="1:8">
      <c r="A1202" s="2">
        <v>46170</v>
      </c>
      <c r="B1202" s="3">
        <v>1607293</v>
      </c>
      <c r="C1202" s="3" t="s">
        <v>150</v>
      </c>
      <c r="D1202" s="4">
        <v>20312965</v>
      </c>
      <c r="E1202" s="3" t="s">
        <v>112</v>
      </c>
      <c r="F1202" s="4">
        <v>1</v>
      </c>
      <c r="G1202" s="5">
        <v>137.5</v>
      </c>
      <c r="H1202" s="5">
        <f t="shared" si="18"/>
        <v>137.5</v>
      </c>
    </row>
    <row r="1203" customFormat="1" hidden="1" spans="1:8">
      <c r="A1203" s="2">
        <v>46170</v>
      </c>
      <c r="B1203" s="3">
        <v>1607293</v>
      </c>
      <c r="C1203" s="3" t="s">
        <v>150</v>
      </c>
      <c r="D1203" s="4">
        <v>20312967</v>
      </c>
      <c r="E1203" s="3" t="s">
        <v>289</v>
      </c>
      <c r="F1203" s="4">
        <v>1</v>
      </c>
      <c r="G1203" s="5">
        <v>176</v>
      </c>
      <c r="H1203" s="5">
        <f t="shared" si="18"/>
        <v>176</v>
      </c>
    </row>
    <row r="1204" customFormat="1" hidden="1" spans="1:8">
      <c r="A1204" s="2">
        <v>46170</v>
      </c>
      <c r="B1204" s="3">
        <v>1607293</v>
      </c>
      <c r="C1204" s="3" t="s">
        <v>150</v>
      </c>
      <c r="D1204" s="4">
        <v>20424417</v>
      </c>
      <c r="E1204" s="3" t="s">
        <v>312</v>
      </c>
      <c r="F1204" s="4">
        <v>1</v>
      </c>
      <c r="G1204" s="5">
        <v>66</v>
      </c>
      <c r="H1204" s="5">
        <f t="shared" si="18"/>
        <v>66</v>
      </c>
    </row>
    <row r="1205" customFormat="1" hidden="1" spans="1:8">
      <c r="A1205" s="2">
        <v>46170</v>
      </c>
      <c r="B1205" s="3">
        <v>1607293</v>
      </c>
      <c r="C1205" s="3" t="s">
        <v>156</v>
      </c>
      <c r="D1205" s="4">
        <v>20330757</v>
      </c>
      <c r="E1205" s="3" t="s">
        <v>288</v>
      </c>
      <c r="F1205" s="4">
        <v>1</v>
      </c>
      <c r="G1205" s="5">
        <v>35</v>
      </c>
      <c r="H1205" s="5">
        <f t="shared" si="18"/>
        <v>35</v>
      </c>
    </row>
    <row r="1206" customFormat="1" hidden="1" spans="1:8">
      <c r="A1206" s="2">
        <v>46170</v>
      </c>
      <c r="B1206" s="3">
        <v>1607293</v>
      </c>
      <c r="C1206" s="3" t="s">
        <v>153</v>
      </c>
      <c r="D1206" s="4">
        <v>20321257</v>
      </c>
      <c r="E1206" s="3" t="s">
        <v>68</v>
      </c>
      <c r="F1206" s="4">
        <v>5</v>
      </c>
      <c r="G1206" s="5">
        <v>16.5</v>
      </c>
      <c r="H1206" s="5">
        <f t="shared" si="18"/>
        <v>82.5</v>
      </c>
    </row>
    <row r="1207" customFormat="1" hidden="1" spans="1:8">
      <c r="A1207" s="2">
        <v>46170</v>
      </c>
      <c r="B1207" s="3">
        <v>1607293</v>
      </c>
      <c r="C1207" s="3" t="s">
        <v>153</v>
      </c>
      <c r="D1207" s="4">
        <v>20318380</v>
      </c>
      <c r="E1207" s="3" t="s">
        <v>232</v>
      </c>
      <c r="F1207" s="4">
        <v>1</v>
      </c>
      <c r="G1207" s="5">
        <v>16.5</v>
      </c>
      <c r="H1207" s="5">
        <f t="shared" si="18"/>
        <v>16.5</v>
      </c>
    </row>
    <row r="1208" customFormat="1" hidden="1" spans="1:8">
      <c r="A1208" s="2">
        <v>46170</v>
      </c>
      <c r="B1208" s="3">
        <v>1607293</v>
      </c>
      <c r="C1208" s="3" t="s">
        <v>153</v>
      </c>
      <c r="D1208" s="4">
        <v>20340289</v>
      </c>
      <c r="E1208" s="3" t="s">
        <v>272</v>
      </c>
      <c r="F1208" s="4">
        <v>1</v>
      </c>
      <c r="G1208" s="5">
        <v>16.5</v>
      </c>
      <c r="H1208" s="5">
        <f t="shared" si="18"/>
        <v>16.5</v>
      </c>
    </row>
    <row r="1209" customFormat="1" hidden="1" spans="1:8">
      <c r="A1209" s="2">
        <v>46170</v>
      </c>
      <c r="B1209" s="3">
        <v>1607293</v>
      </c>
      <c r="C1209" s="3" t="s">
        <v>153</v>
      </c>
      <c r="D1209" s="4">
        <v>20318379</v>
      </c>
      <c r="E1209" s="3" t="s">
        <v>127</v>
      </c>
      <c r="F1209" s="4">
        <v>1</v>
      </c>
      <c r="G1209" s="5">
        <v>16.5</v>
      </c>
      <c r="H1209" s="5">
        <f t="shared" si="18"/>
        <v>16.5</v>
      </c>
    </row>
    <row r="1210" customFormat="1" hidden="1" spans="1:8">
      <c r="A1210" s="2">
        <v>46170</v>
      </c>
      <c r="B1210" s="3">
        <v>1607293</v>
      </c>
      <c r="C1210" s="3" t="s">
        <v>153</v>
      </c>
      <c r="D1210" s="4">
        <v>20318336</v>
      </c>
      <c r="E1210" s="3" t="s">
        <v>303</v>
      </c>
      <c r="F1210" s="4">
        <v>1</v>
      </c>
      <c r="G1210" s="5">
        <v>16.5</v>
      </c>
      <c r="H1210" s="5">
        <f t="shared" si="18"/>
        <v>16.5</v>
      </c>
    </row>
    <row r="1211" customFormat="1" hidden="1" spans="1:8">
      <c r="A1211" s="2">
        <v>46170</v>
      </c>
      <c r="B1211" s="3">
        <v>1607293</v>
      </c>
      <c r="C1211" s="3" t="s">
        <v>153</v>
      </c>
      <c r="D1211" s="4">
        <v>20318393</v>
      </c>
      <c r="E1211" s="3" t="s">
        <v>140</v>
      </c>
      <c r="F1211" s="4">
        <v>1</v>
      </c>
      <c r="G1211" s="5">
        <v>16.5</v>
      </c>
      <c r="H1211" s="5">
        <f t="shared" si="18"/>
        <v>16.5</v>
      </c>
    </row>
    <row r="1212" customFormat="1" hidden="1" spans="1:8">
      <c r="A1212" s="2">
        <v>46171</v>
      </c>
      <c r="B1212" s="3">
        <v>1607499</v>
      </c>
      <c r="C1212" s="3" t="s">
        <v>150</v>
      </c>
      <c r="D1212" s="4">
        <v>20312966</v>
      </c>
      <c r="E1212" s="3" t="s">
        <v>258</v>
      </c>
      <c r="F1212" s="4">
        <v>4</v>
      </c>
      <c r="G1212" s="5">
        <v>159.5</v>
      </c>
      <c r="H1212" s="5">
        <f t="shared" si="18"/>
        <v>638</v>
      </c>
    </row>
    <row r="1213" customFormat="1" hidden="1" spans="1:8">
      <c r="A1213" s="2">
        <v>46171</v>
      </c>
      <c r="B1213" s="3">
        <v>1607499</v>
      </c>
      <c r="C1213" s="3" t="s">
        <v>150</v>
      </c>
      <c r="D1213" s="4">
        <v>20312967</v>
      </c>
      <c r="E1213" s="3" t="s">
        <v>289</v>
      </c>
      <c r="F1213" s="4">
        <v>4</v>
      </c>
      <c r="G1213" s="5">
        <v>176</v>
      </c>
      <c r="H1213" s="5">
        <f t="shared" si="18"/>
        <v>704</v>
      </c>
    </row>
    <row r="1214" customFormat="1" hidden="1" spans="1:8">
      <c r="A1214" s="2">
        <v>46171</v>
      </c>
      <c r="B1214" s="3">
        <v>1607499</v>
      </c>
      <c r="C1214" s="3" t="s">
        <v>151</v>
      </c>
      <c r="D1214" s="4">
        <v>20410296</v>
      </c>
      <c r="E1214" s="3" t="s">
        <v>188</v>
      </c>
      <c r="F1214" s="4">
        <v>1</v>
      </c>
      <c r="G1214" s="5">
        <v>16.5</v>
      </c>
      <c r="H1214" s="5">
        <f t="shared" si="18"/>
        <v>16.5</v>
      </c>
    </row>
    <row r="1215" customFormat="1" hidden="1" spans="1:8">
      <c r="A1215" s="2">
        <v>46171</v>
      </c>
      <c r="B1215" s="3">
        <v>1607499</v>
      </c>
      <c r="C1215" s="3" t="s">
        <v>156</v>
      </c>
      <c r="D1215" s="4">
        <v>20322243</v>
      </c>
      <c r="E1215" s="3" t="s">
        <v>117</v>
      </c>
      <c r="F1215" s="4">
        <v>3</v>
      </c>
      <c r="G1215" s="5">
        <v>30</v>
      </c>
      <c r="H1215" s="5">
        <f t="shared" si="18"/>
        <v>90</v>
      </c>
    </row>
    <row r="1216" customFormat="1" hidden="1" spans="1:8">
      <c r="A1216" s="2">
        <v>46171</v>
      </c>
      <c r="B1216" s="3">
        <v>1607499</v>
      </c>
      <c r="C1216" s="3" t="s">
        <v>156</v>
      </c>
      <c r="D1216" s="4">
        <v>20322304</v>
      </c>
      <c r="E1216" s="3" t="s">
        <v>275</v>
      </c>
      <c r="F1216" s="4">
        <v>6</v>
      </c>
      <c r="G1216" s="5">
        <v>25</v>
      </c>
      <c r="H1216" s="5">
        <f t="shared" si="18"/>
        <v>150</v>
      </c>
    </row>
    <row r="1217" customFormat="1" hidden="1" spans="1:8">
      <c r="A1217" s="2">
        <v>46171</v>
      </c>
      <c r="B1217" s="3">
        <v>1607499</v>
      </c>
      <c r="C1217" s="3" t="s">
        <v>156</v>
      </c>
      <c r="D1217" s="4">
        <v>20330757</v>
      </c>
      <c r="E1217" s="3" t="s">
        <v>288</v>
      </c>
      <c r="F1217" s="4">
        <v>4</v>
      </c>
      <c r="G1217" s="5">
        <v>35</v>
      </c>
      <c r="H1217" s="5">
        <f t="shared" si="18"/>
        <v>140</v>
      </c>
    </row>
    <row r="1218" customFormat="1" hidden="1" spans="1:8">
      <c r="A1218" s="2">
        <v>46171</v>
      </c>
      <c r="B1218" s="3">
        <v>1607499</v>
      </c>
      <c r="C1218" s="3" t="s">
        <v>152</v>
      </c>
      <c r="D1218" s="4">
        <v>20321108</v>
      </c>
      <c r="E1218" s="3" t="s">
        <v>160</v>
      </c>
      <c r="F1218" s="4">
        <v>1</v>
      </c>
      <c r="G1218" s="5">
        <v>38.5</v>
      </c>
      <c r="H1218" s="5">
        <f t="shared" ref="H1218:H1281" si="19">G1218*F1218</f>
        <v>38.5</v>
      </c>
    </row>
    <row r="1219" customFormat="1" hidden="1" spans="1:8">
      <c r="A1219" s="2">
        <v>46171</v>
      </c>
      <c r="B1219" s="3">
        <v>1607499</v>
      </c>
      <c r="C1219" s="3" t="s">
        <v>152</v>
      </c>
      <c r="D1219" s="4">
        <v>20366059</v>
      </c>
      <c r="E1219" s="3" t="s">
        <v>194</v>
      </c>
      <c r="F1219" s="4">
        <v>1</v>
      </c>
      <c r="G1219" s="5">
        <v>66</v>
      </c>
      <c r="H1219" s="5">
        <f t="shared" si="19"/>
        <v>66</v>
      </c>
    </row>
    <row r="1220" customFormat="1" hidden="1" spans="1:8">
      <c r="A1220" s="2">
        <v>46171</v>
      </c>
      <c r="B1220" s="3">
        <v>1607499</v>
      </c>
      <c r="C1220" s="3" t="s">
        <v>153</v>
      </c>
      <c r="D1220" s="4">
        <v>20321257</v>
      </c>
      <c r="E1220" s="3" t="s">
        <v>68</v>
      </c>
      <c r="F1220" s="4">
        <v>7</v>
      </c>
      <c r="G1220" s="5">
        <v>16.5</v>
      </c>
      <c r="H1220" s="5">
        <f t="shared" si="19"/>
        <v>115.5</v>
      </c>
    </row>
    <row r="1221" customFormat="1" hidden="1" spans="1:8">
      <c r="A1221" s="2">
        <v>46171</v>
      </c>
      <c r="B1221" s="3">
        <v>1607499</v>
      </c>
      <c r="C1221" s="3" t="s">
        <v>153</v>
      </c>
      <c r="D1221" s="4">
        <v>20321250</v>
      </c>
      <c r="E1221" s="3" t="s">
        <v>259</v>
      </c>
      <c r="F1221" s="4">
        <v>2</v>
      </c>
      <c r="G1221" s="5">
        <v>16.5</v>
      </c>
      <c r="H1221" s="5">
        <f t="shared" si="19"/>
        <v>33</v>
      </c>
    </row>
    <row r="1222" customFormat="1" hidden="1" spans="1:8">
      <c r="A1222" s="2">
        <v>46171</v>
      </c>
      <c r="B1222" s="3">
        <v>1607499</v>
      </c>
      <c r="C1222" s="3" t="s">
        <v>153</v>
      </c>
      <c r="D1222" s="4">
        <v>20318379</v>
      </c>
      <c r="E1222" s="3" t="s">
        <v>127</v>
      </c>
      <c r="F1222" s="4">
        <v>1</v>
      </c>
      <c r="G1222" s="5">
        <v>16.5</v>
      </c>
      <c r="H1222" s="5">
        <f t="shared" si="19"/>
        <v>16.5</v>
      </c>
    </row>
    <row r="1223" customFormat="1" hidden="1" spans="1:8">
      <c r="A1223" s="2">
        <v>46171</v>
      </c>
      <c r="B1223" s="3">
        <v>1607499</v>
      </c>
      <c r="C1223" s="3" t="s">
        <v>153</v>
      </c>
      <c r="D1223" s="4">
        <v>20318393</v>
      </c>
      <c r="E1223" s="3" t="s">
        <v>140</v>
      </c>
      <c r="F1223" s="4">
        <v>1</v>
      </c>
      <c r="G1223" s="5">
        <v>16.5</v>
      </c>
      <c r="H1223" s="5">
        <f t="shared" si="19"/>
        <v>16.5</v>
      </c>
    </row>
    <row r="1224" customFormat="1" hidden="1" spans="1:8">
      <c r="A1224" s="2">
        <v>46171</v>
      </c>
      <c r="B1224" s="3">
        <v>1607569</v>
      </c>
      <c r="C1224" s="3" t="s">
        <v>150</v>
      </c>
      <c r="D1224" s="4">
        <v>20312982</v>
      </c>
      <c r="E1224" s="3" t="s">
        <v>174</v>
      </c>
      <c r="F1224" s="4">
        <v>1</v>
      </c>
      <c r="G1224" s="5">
        <v>214.5</v>
      </c>
      <c r="H1224" s="5">
        <f t="shared" si="19"/>
        <v>214.5</v>
      </c>
    </row>
    <row r="1225" customFormat="1" hidden="1" spans="1:8">
      <c r="A1225" s="2">
        <v>46171</v>
      </c>
      <c r="B1225" s="3">
        <v>1607569</v>
      </c>
      <c r="C1225" s="3" t="s">
        <v>150</v>
      </c>
      <c r="D1225" s="4">
        <v>20312967</v>
      </c>
      <c r="E1225" s="3" t="s">
        <v>289</v>
      </c>
      <c r="F1225" s="4">
        <v>2</v>
      </c>
      <c r="G1225" s="5">
        <v>176</v>
      </c>
      <c r="H1225" s="5">
        <f t="shared" si="19"/>
        <v>352</v>
      </c>
    </row>
    <row r="1226" customFormat="1" hidden="1" spans="1:8">
      <c r="A1226" s="2">
        <v>46171</v>
      </c>
      <c r="B1226" s="3">
        <v>1607569</v>
      </c>
      <c r="C1226" s="3" t="s">
        <v>153</v>
      </c>
      <c r="D1226" s="4">
        <v>20321257</v>
      </c>
      <c r="E1226" s="3" t="s">
        <v>68</v>
      </c>
      <c r="F1226" s="4">
        <v>3</v>
      </c>
      <c r="G1226" s="5">
        <v>16.5</v>
      </c>
      <c r="H1226" s="5">
        <f t="shared" si="19"/>
        <v>49.5</v>
      </c>
    </row>
    <row r="1227" customFormat="1" hidden="1" spans="1:8">
      <c r="A1227" s="2">
        <v>46171</v>
      </c>
      <c r="B1227" s="3">
        <v>1607569</v>
      </c>
      <c r="C1227" s="3" t="s">
        <v>153</v>
      </c>
      <c r="D1227" s="4">
        <v>20363041</v>
      </c>
      <c r="E1227" s="3" t="s">
        <v>187</v>
      </c>
      <c r="F1227" s="4">
        <v>1</v>
      </c>
      <c r="G1227" s="5">
        <v>16.5</v>
      </c>
      <c r="H1227" s="5">
        <f t="shared" si="19"/>
        <v>16.5</v>
      </c>
    </row>
    <row r="1228" customFormat="1" hidden="1" spans="1:8">
      <c r="A1228" s="2">
        <v>46171</v>
      </c>
      <c r="B1228" s="3">
        <v>1607569</v>
      </c>
      <c r="C1228" s="3" t="s">
        <v>153</v>
      </c>
      <c r="D1228" s="4">
        <v>20374027</v>
      </c>
      <c r="E1228" s="3" t="s">
        <v>219</v>
      </c>
      <c r="F1228" s="4">
        <v>1</v>
      </c>
      <c r="G1228" s="5">
        <v>22</v>
      </c>
      <c r="H1228" s="5">
        <f t="shared" si="19"/>
        <v>22</v>
      </c>
    </row>
    <row r="1229" customFormat="1" hidden="1" spans="1:8">
      <c r="A1229" s="2">
        <v>46171</v>
      </c>
      <c r="B1229" s="3">
        <v>1607569</v>
      </c>
      <c r="C1229" s="3" t="s">
        <v>153</v>
      </c>
      <c r="D1229" s="4">
        <v>20343399</v>
      </c>
      <c r="E1229" s="3" t="s">
        <v>228</v>
      </c>
      <c r="F1229" s="4">
        <v>1</v>
      </c>
      <c r="G1229" s="5">
        <v>33</v>
      </c>
      <c r="H1229" s="5">
        <f t="shared" si="19"/>
        <v>33</v>
      </c>
    </row>
    <row r="1230" customFormat="1" hidden="1" spans="1:8">
      <c r="A1230" s="2">
        <v>46171</v>
      </c>
      <c r="B1230" s="3">
        <v>1607569</v>
      </c>
      <c r="C1230" s="3" t="s">
        <v>153</v>
      </c>
      <c r="D1230" s="4">
        <v>20318342</v>
      </c>
      <c r="E1230" s="3" t="s">
        <v>304</v>
      </c>
      <c r="F1230" s="4">
        <v>1</v>
      </c>
      <c r="G1230" s="5">
        <v>16.5</v>
      </c>
      <c r="H1230" s="5">
        <f t="shared" si="19"/>
        <v>16.5</v>
      </c>
    </row>
    <row r="1231" customFormat="1" hidden="1" spans="1:8">
      <c r="A1231" s="2">
        <v>46171</v>
      </c>
      <c r="B1231" s="3">
        <v>1607597</v>
      </c>
      <c r="C1231" s="3" t="s">
        <v>150</v>
      </c>
      <c r="D1231" s="4">
        <v>20312966</v>
      </c>
      <c r="E1231" s="3" t="s">
        <v>258</v>
      </c>
      <c r="F1231" s="4">
        <v>2</v>
      </c>
      <c r="G1231" s="5">
        <v>159.5</v>
      </c>
      <c r="H1231" s="5">
        <f t="shared" si="19"/>
        <v>319</v>
      </c>
    </row>
    <row r="1232" customFormat="1" hidden="1" spans="1:8">
      <c r="A1232" s="2">
        <v>46171</v>
      </c>
      <c r="B1232" s="3">
        <v>1607597</v>
      </c>
      <c r="C1232" s="3" t="s">
        <v>150</v>
      </c>
      <c r="D1232" s="4">
        <v>20312965</v>
      </c>
      <c r="E1232" s="3" t="s">
        <v>112</v>
      </c>
      <c r="F1232" s="4">
        <v>5</v>
      </c>
      <c r="G1232" s="5">
        <v>137.5</v>
      </c>
      <c r="H1232" s="5">
        <f t="shared" si="19"/>
        <v>687.5</v>
      </c>
    </row>
    <row r="1233" customFormat="1" hidden="1" spans="1:8">
      <c r="A1233" s="2">
        <v>46171</v>
      </c>
      <c r="B1233" s="3">
        <v>1607597</v>
      </c>
      <c r="C1233" s="3" t="s">
        <v>150</v>
      </c>
      <c r="D1233" s="4">
        <v>20312967</v>
      </c>
      <c r="E1233" s="3" t="s">
        <v>289</v>
      </c>
      <c r="F1233" s="4">
        <v>3</v>
      </c>
      <c r="G1233" s="5">
        <v>176</v>
      </c>
      <c r="H1233" s="5">
        <f t="shared" si="19"/>
        <v>528</v>
      </c>
    </row>
    <row r="1234" customFormat="1" hidden="1" spans="1:8">
      <c r="A1234" s="2">
        <v>46171</v>
      </c>
      <c r="B1234" s="3">
        <v>1607597</v>
      </c>
      <c r="C1234" s="3" t="s">
        <v>155</v>
      </c>
      <c r="D1234" s="4">
        <v>20322228</v>
      </c>
      <c r="E1234" s="3" t="s">
        <v>74</v>
      </c>
      <c r="F1234" s="4">
        <v>1</v>
      </c>
      <c r="G1234" s="5">
        <v>15</v>
      </c>
      <c r="H1234" s="5">
        <f t="shared" si="19"/>
        <v>15</v>
      </c>
    </row>
    <row r="1235" customFormat="1" hidden="1" spans="1:8">
      <c r="A1235" s="2">
        <v>46171</v>
      </c>
      <c r="B1235" s="3">
        <v>1607597</v>
      </c>
      <c r="C1235" s="3" t="s">
        <v>153</v>
      </c>
      <c r="D1235" s="4">
        <v>20318380</v>
      </c>
      <c r="E1235" s="3" t="s">
        <v>232</v>
      </c>
      <c r="F1235" s="4">
        <v>2</v>
      </c>
      <c r="G1235" s="5">
        <v>16.5</v>
      </c>
      <c r="H1235" s="5">
        <f t="shared" si="19"/>
        <v>33</v>
      </c>
    </row>
    <row r="1236" customFormat="1" hidden="1" spans="1:8">
      <c r="A1236" s="2">
        <v>46171</v>
      </c>
      <c r="B1236" s="3">
        <v>1607597</v>
      </c>
      <c r="C1236" s="3" t="s">
        <v>153</v>
      </c>
      <c r="D1236" s="4">
        <v>20321250</v>
      </c>
      <c r="E1236" s="3" t="s">
        <v>259</v>
      </c>
      <c r="F1236" s="4">
        <v>1</v>
      </c>
      <c r="G1236" s="5">
        <v>16.5</v>
      </c>
      <c r="H1236" s="5">
        <f t="shared" si="19"/>
        <v>16.5</v>
      </c>
    </row>
    <row r="1237" customFormat="1" hidden="1" spans="1:8">
      <c r="A1237" s="2">
        <v>46171</v>
      </c>
      <c r="B1237" s="3">
        <v>1607597</v>
      </c>
      <c r="C1237" s="3" t="s">
        <v>153</v>
      </c>
      <c r="D1237" s="4">
        <v>20340289</v>
      </c>
      <c r="E1237" s="3" t="s">
        <v>272</v>
      </c>
      <c r="F1237" s="4">
        <v>1</v>
      </c>
      <c r="G1237" s="5">
        <v>16.5</v>
      </c>
      <c r="H1237" s="5">
        <f t="shared" si="19"/>
        <v>16.5</v>
      </c>
    </row>
    <row r="1238" customFormat="1" hidden="1" spans="1:8">
      <c r="A1238" s="2">
        <v>46171</v>
      </c>
      <c r="B1238" s="3">
        <v>1607597</v>
      </c>
      <c r="C1238" s="3" t="s">
        <v>153</v>
      </c>
      <c r="D1238" s="4">
        <v>20383164</v>
      </c>
      <c r="E1238" s="3" t="s">
        <v>273</v>
      </c>
      <c r="F1238" s="4">
        <v>1</v>
      </c>
      <c r="G1238" s="5">
        <v>22</v>
      </c>
      <c r="H1238" s="5">
        <f t="shared" si="19"/>
        <v>22</v>
      </c>
    </row>
    <row r="1239" customFormat="1" hidden="1" spans="1:8">
      <c r="A1239" s="2">
        <v>46171</v>
      </c>
      <c r="B1239" s="3">
        <v>1607597</v>
      </c>
      <c r="C1239" s="3" t="s">
        <v>153</v>
      </c>
      <c r="D1239" s="4">
        <v>20318336</v>
      </c>
      <c r="E1239" s="3" t="s">
        <v>303</v>
      </c>
      <c r="F1239" s="4">
        <v>2</v>
      </c>
      <c r="G1239" s="5">
        <v>16.5</v>
      </c>
      <c r="H1239" s="5">
        <f t="shared" si="19"/>
        <v>33</v>
      </c>
    </row>
    <row r="1240" customFormat="1" hidden="1" spans="1:8">
      <c r="A1240" s="2">
        <v>46171</v>
      </c>
      <c r="B1240" s="3">
        <v>1607597</v>
      </c>
      <c r="C1240" s="3" t="s">
        <v>153</v>
      </c>
      <c r="D1240" s="4">
        <v>20318342</v>
      </c>
      <c r="E1240" s="3" t="s">
        <v>304</v>
      </c>
      <c r="F1240" s="4">
        <v>1</v>
      </c>
      <c r="G1240" s="5">
        <v>16.5</v>
      </c>
      <c r="H1240" s="5">
        <f t="shared" si="19"/>
        <v>16.5</v>
      </c>
    </row>
    <row r="1241" customFormat="1" hidden="1" spans="1:8">
      <c r="A1241" s="2">
        <v>46171</v>
      </c>
      <c r="B1241" s="3">
        <v>1607644</v>
      </c>
      <c r="C1241" s="3" t="s">
        <v>150</v>
      </c>
      <c r="D1241" s="4">
        <v>20312966</v>
      </c>
      <c r="E1241" s="3" t="s">
        <v>258</v>
      </c>
      <c r="F1241" s="4">
        <v>3</v>
      </c>
      <c r="G1241" s="5">
        <v>159.5</v>
      </c>
      <c r="H1241" s="5">
        <f t="shared" si="19"/>
        <v>478.5</v>
      </c>
    </row>
    <row r="1242" customFormat="1" hidden="1" spans="1:8">
      <c r="A1242" s="2">
        <v>46171</v>
      </c>
      <c r="B1242" s="3">
        <v>1607644</v>
      </c>
      <c r="C1242" s="3" t="s">
        <v>150</v>
      </c>
      <c r="D1242" s="4">
        <v>20312967</v>
      </c>
      <c r="E1242" s="3" t="s">
        <v>289</v>
      </c>
      <c r="F1242" s="4">
        <v>2</v>
      </c>
      <c r="G1242" s="5">
        <v>176</v>
      </c>
      <c r="H1242" s="5">
        <f t="shared" si="19"/>
        <v>352</v>
      </c>
    </row>
    <row r="1243" customFormat="1" hidden="1" spans="1:8">
      <c r="A1243" s="2">
        <v>46171</v>
      </c>
      <c r="B1243" s="3">
        <v>1607644</v>
      </c>
      <c r="C1243" s="3" t="s">
        <v>156</v>
      </c>
      <c r="D1243" s="4">
        <v>20322235</v>
      </c>
      <c r="E1243" s="3" t="s">
        <v>111</v>
      </c>
      <c r="F1243" s="4">
        <v>19</v>
      </c>
      <c r="G1243" s="5">
        <v>2.5</v>
      </c>
      <c r="H1243" s="5">
        <f t="shared" si="19"/>
        <v>47.5</v>
      </c>
    </row>
    <row r="1244" customFormat="1" hidden="1" spans="1:8">
      <c r="A1244" s="2">
        <v>46171</v>
      </c>
      <c r="B1244" s="3">
        <v>1607644</v>
      </c>
      <c r="C1244" s="3" t="s">
        <v>156</v>
      </c>
      <c r="D1244" s="4">
        <v>20322243</v>
      </c>
      <c r="E1244" s="3" t="s">
        <v>117</v>
      </c>
      <c r="F1244" s="4">
        <v>1</v>
      </c>
      <c r="G1244" s="5">
        <v>30</v>
      </c>
      <c r="H1244" s="5">
        <f t="shared" si="19"/>
        <v>30</v>
      </c>
    </row>
    <row r="1245" customFormat="1" hidden="1" spans="1:8">
      <c r="A1245" s="2">
        <v>46171</v>
      </c>
      <c r="B1245" s="3">
        <v>1607644</v>
      </c>
      <c r="C1245" s="3" t="s">
        <v>156</v>
      </c>
      <c r="D1245" s="4">
        <v>20322234</v>
      </c>
      <c r="E1245" s="3" t="s">
        <v>274</v>
      </c>
      <c r="F1245" s="4">
        <v>8</v>
      </c>
      <c r="G1245" s="5">
        <v>2.5</v>
      </c>
      <c r="H1245" s="5">
        <f t="shared" si="19"/>
        <v>20</v>
      </c>
    </row>
    <row r="1246" customFormat="1" hidden="1" spans="1:8">
      <c r="A1246" s="2">
        <v>46171</v>
      </c>
      <c r="B1246" s="3">
        <v>1607644</v>
      </c>
      <c r="C1246" s="3" t="s">
        <v>156</v>
      </c>
      <c r="D1246" s="4">
        <v>20330757</v>
      </c>
      <c r="E1246" s="3" t="s">
        <v>288</v>
      </c>
      <c r="F1246" s="4">
        <v>2</v>
      </c>
      <c r="G1246" s="5">
        <v>35</v>
      </c>
      <c r="H1246" s="5">
        <f t="shared" si="19"/>
        <v>70</v>
      </c>
    </row>
    <row r="1247" customFormat="1" hidden="1" spans="1:8">
      <c r="A1247" s="2">
        <v>46171</v>
      </c>
      <c r="B1247" s="3">
        <v>1607644</v>
      </c>
      <c r="C1247" s="3" t="s">
        <v>153</v>
      </c>
      <c r="D1247" s="4">
        <v>20321257</v>
      </c>
      <c r="E1247" s="3" t="s">
        <v>68</v>
      </c>
      <c r="F1247" s="4">
        <v>3</v>
      </c>
      <c r="G1247" s="5">
        <v>16.5</v>
      </c>
      <c r="H1247" s="5">
        <f t="shared" si="19"/>
        <v>49.5</v>
      </c>
    </row>
    <row r="1248" customFormat="1" hidden="1" spans="1:8">
      <c r="A1248" s="2">
        <v>46171</v>
      </c>
      <c r="B1248" s="3">
        <v>1607644</v>
      </c>
      <c r="C1248" s="3" t="s">
        <v>153</v>
      </c>
      <c r="D1248" s="4">
        <v>20318375</v>
      </c>
      <c r="E1248" s="3" t="s">
        <v>81</v>
      </c>
      <c r="F1248" s="4">
        <v>1</v>
      </c>
      <c r="G1248" s="5">
        <v>16.5</v>
      </c>
      <c r="H1248" s="5">
        <f t="shared" si="19"/>
        <v>16.5</v>
      </c>
    </row>
    <row r="1249" customFormat="1" hidden="1" spans="1:8">
      <c r="A1249" s="2">
        <v>46171</v>
      </c>
      <c r="B1249" s="3">
        <v>1607644</v>
      </c>
      <c r="C1249" s="3" t="s">
        <v>153</v>
      </c>
      <c r="D1249" s="4">
        <v>20343399</v>
      </c>
      <c r="E1249" s="3" t="s">
        <v>228</v>
      </c>
      <c r="F1249" s="4">
        <v>1</v>
      </c>
      <c r="G1249" s="5">
        <v>33</v>
      </c>
      <c r="H1249" s="5">
        <f t="shared" si="19"/>
        <v>33</v>
      </c>
    </row>
    <row r="1250" customFormat="1" hidden="1" spans="1:8">
      <c r="A1250" s="2">
        <v>46171</v>
      </c>
      <c r="B1250" s="3">
        <v>1607644</v>
      </c>
      <c r="C1250" s="3" t="s">
        <v>153</v>
      </c>
      <c r="D1250" s="4">
        <v>20318380</v>
      </c>
      <c r="E1250" s="3" t="s">
        <v>232</v>
      </c>
      <c r="F1250" s="4">
        <v>1</v>
      </c>
      <c r="G1250" s="5">
        <v>16.5</v>
      </c>
      <c r="H1250" s="5">
        <f t="shared" si="19"/>
        <v>16.5</v>
      </c>
    </row>
    <row r="1251" customFormat="1" hidden="1" spans="1:8">
      <c r="A1251" s="2">
        <v>46171</v>
      </c>
      <c r="B1251" s="3">
        <v>1607644</v>
      </c>
      <c r="C1251" s="3" t="s">
        <v>153</v>
      </c>
      <c r="D1251" s="4">
        <v>20318340</v>
      </c>
      <c r="E1251" s="3" t="s">
        <v>240</v>
      </c>
      <c r="F1251" s="4">
        <v>1</v>
      </c>
      <c r="G1251" s="5">
        <v>16.5</v>
      </c>
      <c r="H1251" s="5">
        <f t="shared" si="19"/>
        <v>16.5</v>
      </c>
    </row>
    <row r="1252" customFormat="1" hidden="1" spans="1:8">
      <c r="A1252" s="2">
        <v>46171</v>
      </c>
      <c r="B1252" s="3">
        <v>1607644</v>
      </c>
      <c r="C1252" s="3" t="s">
        <v>153</v>
      </c>
      <c r="D1252" s="4">
        <v>20321250</v>
      </c>
      <c r="E1252" s="3" t="s">
        <v>259</v>
      </c>
      <c r="F1252" s="4">
        <v>1</v>
      </c>
      <c r="G1252" s="5">
        <v>16.5</v>
      </c>
      <c r="H1252" s="5">
        <f t="shared" si="19"/>
        <v>16.5</v>
      </c>
    </row>
    <row r="1253" customFormat="1" hidden="1" spans="1:8">
      <c r="A1253" s="2">
        <v>46171</v>
      </c>
      <c r="B1253" s="3">
        <v>1607644</v>
      </c>
      <c r="C1253" s="3" t="s">
        <v>153</v>
      </c>
      <c r="D1253" s="4">
        <v>20318389</v>
      </c>
      <c r="E1253" s="3" t="s">
        <v>302</v>
      </c>
      <c r="F1253" s="4">
        <v>1</v>
      </c>
      <c r="G1253" s="5">
        <v>16.5</v>
      </c>
      <c r="H1253" s="5">
        <f t="shared" si="19"/>
        <v>16.5</v>
      </c>
    </row>
    <row r="1254" customFormat="1" hidden="1" spans="1:8">
      <c r="A1254" s="2">
        <v>46171</v>
      </c>
      <c r="B1254" s="3">
        <v>1607644</v>
      </c>
      <c r="C1254" s="3" t="s">
        <v>153</v>
      </c>
      <c r="D1254" s="4">
        <v>20318336</v>
      </c>
      <c r="E1254" s="3" t="s">
        <v>303</v>
      </c>
      <c r="F1254" s="4">
        <v>2</v>
      </c>
      <c r="G1254" s="5">
        <v>16.5</v>
      </c>
      <c r="H1254" s="5">
        <f t="shared" si="19"/>
        <v>33</v>
      </c>
    </row>
    <row r="1255" customFormat="1" hidden="1" spans="1:8">
      <c r="A1255" s="2">
        <v>46171</v>
      </c>
      <c r="B1255" s="3">
        <v>1607644</v>
      </c>
      <c r="C1255" s="3" t="s">
        <v>318</v>
      </c>
      <c r="D1255" s="4">
        <v>20321778</v>
      </c>
      <c r="E1255" s="3" t="s">
        <v>245</v>
      </c>
      <c r="F1255" s="4">
        <v>2</v>
      </c>
      <c r="G1255" s="5">
        <v>2.5</v>
      </c>
      <c r="H1255" s="5">
        <f t="shared" si="19"/>
        <v>5</v>
      </c>
    </row>
    <row r="1256" customFormat="1" hidden="1" spans="1:8">
      <c r="A1256" s="2">
        <v>46171</v>
      </c>
      <c r="B1256" s="3">
        <v>1607654</v>
      </c>
      <c r="C1256" s="3" t="s">
        <v>150</v>
      </c>
      <c r="D1256" s="4">
        <v>20321719</v>
      </c>
      <c r="E1256" s="3" t="s">
        <v>163</v>
      </c>
      <c r="F1256" s="4">
        <v>1</v>
      </c>
      <c r="G1256" s="5">
        <v>49.5</v>
      </c>
      <c r="H1256" s="5">
        <f t="shared" si="19"/>
        <v>49.5</v>
      </c>
    </row>
    <row r="1257" customFormat="1" hidden="1" spans="1:8">
      <c r="A1257" s="2">
        <v>46171</v>
      </c>
      <c r="B1257" s="3">
        <v>1607654</v>
      </c>
      <c r="C1257" s="3" t="s">
        <v>150</v>
      </c>
      <c r="D1257" s="4">
        <v>20312966</v>
      </c>
      <c r="E1257" s="3" t="s">
        <v>258</v>
      </c>
      <c r="F1257" s="4">
        <v>4</v>
      </c>
      <c r="G1257" s="5">
        <v>159.5</v>
      </c>
      <c r="H1257" s="5">
        <f t="shared" si="19"/>
        <v>638</v>
      </c>
    </row>
    <row r="1258" customFormat="1" hidden="1" spans="1:8">
      <c r="A1258" s="2">
        <v>46171</v>
      </c>
      <c r="B1258" s="3">
        <v>1607654</v>
      </c>
      <c r="C1258" s="3" t="s">
        <v>150</v>
      </c>
      <c r="D1258" s="4">
        <v>20312984</v>
      </c>
      <c r="E1258" s="3" t="s">
        <v>281</v>
      </c>
      <c r="F1258" s="4">
        <v>1</v>
      </c>
      <c r="G1258" s="5">
        <v>121</v>
      </c>
      <c r="H1258" s="5">
        <f t="shared" si="19"/>
        <v>121</v>
      </c>
    </row>
    <row r="1259" customFormat="1" hidden="1" spans="1:8">
      <c r="A1259" s="2">
        <v>46171</v>
      </c>
      <c r="B1259" s="3">
        <v>1607654</v>
      </c>
      <c r="C1259" s="3" t="s">
        <v>150</v>
      </c>
      <c r="D1259" s="4">
        <v>20312967</v>
      </c>
      <c r="E1259" s="3" t="s">
        <v>289</v>
      </c>
      <c r="F1259" s="4">
        <v>5</v>
      </c>
      <c r="G1259" s="5">
        <v>176</v>
      </c>
      <c r="H1259" s="5">
        <f t="shared" si="19"/>
        <v>880</v>
      </c>
    </row>
    <row r="1260" customFormat="1" hidden="1" spans="1:8">
      <c r="A1260" s="2">
        <v>46171</v>
      </c>
      <c r="B1260" s="3">
        <v>1607654</v>
      </c>
      <c r="C1260" s="3" t="s">
        <v>150</v>
      </c>
      <c r="D1260" s="4">
        <v>20321665</v>
      </c>
      <c r="E1260" s="3" t="s">
        <v>301</v>
      </c>
      <c r="F1260" s="4">
        <v>1</v>
      </c>
      <c r="G1260" s="5">
        <v>66</v>
      </c>
      <c r="H1260" s="5">
        <f t="shared" si="19"/>
        <v>66</v>
      </c>
    </row>
    <row r="1261" customFormat="1" hidden="1" spans="1:8">
      <c r="A1261" s="2">
        <v>46171</v>
      </c>
      <c r="B1261" s="3">
        <v>1607654</v>
      </c>
      <c r="C1261" s="3" t="s">
        <v>150</v>
      </c>
      <c r="D1261" s="4">
        <v>20312986</v>
      </c>
      <c r="E1261" s="3" t="s">
        <v>313</v>
      </c>
      <c r="F1261" s="4">
        <v>1</v>
      </c>
      <c r="G1261" s="5">
        <v>555.5</v>
      </c>
      <c r="H1261" s="5">
        <f t="shared" si="19"/>
        <v>555.5</v>
      </c>
    </row>
    <row r="1262" customFormat="1" hidden="1" spans="1:8">
      <c r="A1262" s="2">
        <v>46171</v>
      </c>
      <c r="B1262" s="3">
        <v>1607654</v>
      </c>
      <c r="C1262" s="3" t="s">
        <v>153</v>
      </c>
      <c r="D1262" s="4">
        <v>20321257</v>
      </c>
      <c r="E1262" s="3" t="s">
        <v>68</v>
      </c>
      <c r="F1262" s="4">
        <v>1</v>
      </c>
      <c r="G1262" s="5">
        <v>16.5</v>
      </c>
      <c r="H1262" s="5">
        <f t="shared" si="19"/>
        <v>16.5</v>
      </c>
    </row>
    <row r="1263" customFormat="1" hidden="1" spans="1:8">
      <c r="A1263" s="2">
        <v>46171</v>
      </c>
      <c r="B1263" s="3">
        <v>1607654</v>
      </c>
      <c r="C1263" s="3" t="s">
        <v>153</v>
      </c>
      <c r="D1263" s="4">
        <v>20318334</v>
      </c>
      <c r="E1263" s="3" t="s">
        <v>186</v>
      </c>
      <c r="F1263" s="4">
        <v>1</v>
      </c>
      <c r="G1263" s="5">
        <v>16.5</v>
      </c>
      <c r="H1263" s="5">
        <f t="shared" si="19"/>
        <v>16.5</v>
      </c>
    </row>
    <row r="1264" customFormat="1" hidden="1" spans="1:8">
      <c r="A1264" s="2">
        <v>46171</v>
      </c>
      <c r="B1264" s="3">
        <v>1607654</v>
      </c>
      <c r="C1264" s="3" t="s">
        <v>153</v>
      </c>
      <c r="D1264" s="4">
        <v>20369096</v>
      </c>
      <c r="E1264" s="3" t="s">
        <v>224</v>
      </c>
      <c r="F1264" s="4">
        <v>1</v>
      </c>
      <c r="G1264" s="5">
        <v>16.5</v>
      </c>
      <c r="H1264" s="5">
        <f t="shared" si="19"/>
        <v>16.5</v>
      </c>
    </row>
    <row r="1265" customFormat="1" hidden="1" spans="1:8">
      <c r="A1265" s="2">
        <v>46171</v>
      </c>
      <c r="B1265" s="3">
        <v>1607654</v>
      </c>
      <c r="C1265" s="3" t="s">
        <v>153</v>
      </c>
      <c r="D1265" s="4">
        <v>20318378</v>
      </c>
      <c r="E1265" s="3" t="s">
        <v>231</v>
      </c>
      <c r="F1265" s="4">
        <v>1</v>
      </c>
      <c r="G1265" s="5">
        <v>16.5</v>
      </c>
      <c r="H1265" s="5">
        <f t="shared" si="19"/>
        <v>16.5</v>
      </c>
    </row>
    <row r="1266" customFormat="1" hidden="1" spans="1:8">
      <c r="A1266" s="2">
        <v>46171</v>
      </c>
      <c r="B1266" s="3">
        <v>1607654</v>
      </c>
      <c r="C1266" s="3" t="s">
        <v>153</v>
      </c>
      <c r="D1266" s="4">
        <v>20318340</v>
      </c>
      <c r="E1266" s="3" t="s">
        <v>240</v>
      </c>
      <c r="F1266" s="4">
        <v>1</v>
      </c>
      <c r="G1266" s="5">
        <v>16.5</v>
      </c>
      <c r="H1266" s="5">
        <f t="shared" si="19"/>
        <v>16.5</v>
      </c>
    </row>
    <row r="1267" customFormat="1" hidden="1" spans="1:8">
      <c r="A1267" s="2">
        <v>46171</v>
      </c>
      <c r="B1267" s="3">
        <v>1607654</v>
      </c>
      <c r="C1267" s="3" t="s">
        <v>153</v>
      </c>
      <c r="D1267" s="4">
        <v>20382284</v>
      </c>
      <c r="E1267" s="3" t="s">
        <v>247</v>
      </c>
      <c r="F1267" s="4">
        <v>1</v>
      </c>
      <c r="G1267" s="5">
        <v>16.5</v>
      </c>
      <c r="H1267" s="5">
        <f t="shared" si="19"/>
        <v>16.5</v>
      </c>
    </row>
    <row r="1268" customFormat="1" hidden="1" spans="1:8">
      <c r="A1268" s="2">
        <v>46171</v>
      </c>
      <c r="B1268" s="3">
        <v>1607654</v>
      </c>
      <c r="C1268" s="3" t="s">
        <v>153</v>
      </c>
      <c r="D1268" s="4">
        <v>20407575</v>
      </c>
      <c r="E1268" s="3" t="s">
        <v>284</v>
      </c>
      <c r="F1268" s="4">
        <v>1</v>
      </c>
      <c r="G1268" s="5">
        <v>16.5</v>
      </c>
      <c r="H1268" s="5">
        <f t="shared" si="19"/>
        <v>16.5</v>
      </c>
    </row>
    <row r="1269" customFormat="1" hidden="1" spans="1:8">
      <c r="A1269" s="2">
        <v>46171</v>
      </c>
      <c r="B1269" s="3">
        <v>1607654</v>
      </c>
      <c r="C1269" s="3" t="s">
        <v>153</v>
      </c>
      <c r="D1269" s="4">
        <v>20318342</v>
      </c>
      <c r="E1269" s="3" t="s">
        <v>304</v>
      </c>
      <c r="F1269" s="4">
        <v>1</v>
      </c>
      <c r="G1269" s="5">
        <v>16.5</v>
      </c>
      <c r="H1269" s="5">
        <f t="shared" si="19"/>
        <v>16.5</v>
      </c>
    </row>
    <row r="1270" customFormat="1" hidden="1" spans="1:8">
      <c r="A1270" s="2">
        <v>46171</v>
      </c>
      <c r="B1270" s="3">
        <v>1607654</v>
      </c>
      <c r="C1270" s="3" t="s">
        <v>153</v>
      </c>
      <c r="D1270" s="4">
        <v>20318350</v>
      </c>
      <c r="E1270" s="3" t="s">
        <v>315</v>
      </c>
      <c r="F1270" s="4">
        <v>1</v>
      </c>
      <c r="G1270" s="5">
        <v>16.5</v>
      </c>
      <c r="H1270" s="5">
        <f t="shared" si="19"/>
        <v>16.5</v>
      </c>
    </row>
    <row r="1271" customFormat="1" hidden="1" spans="1:8">
      <c r="A1271" s="2">
        <v>46172</v>
      </c>
      <c r="B1271" s="3">
        <v>1607874</v>
      </c>
      <c r="C1271" s="3" t="s">
        <v>150</v>
      </c>
      <c r="D1271" s="4">
        <v>20312966</v>
      </c>
      <c r="E1271" s="3" t="s">
        <v>258</v>
      </c>
      <c r="F1271" s="4">
        <v>8</v>
      </c>
      <c r="G1271" s="5">
        <v>159.5</v>
      </c>
      <c r="H1271" s="5">
        <f t="shared" si="19"/>
        <v>1276</v>
      </c>
    </row>
    <row r="1272" customFormat="1" hidden="1" spans="1:8">
      <c r="A1272" s="2">
        <v>46172</v>
      </c>
      <c r="B1272" s="3">
        <v>1607874</v>
      </c>
      <c r="C1272" s="3" t="s">
        <v>150</v>
      </c>
      <c r="D1272" s="4">
        <v>20312965</v>
      </c>
      <c r="E1272" s="3" t="s">
        <v>112</v>
      </c>
      <c r="F1272" s="4">
        <v>3</v>
      </c>
      <c r="G1272" s="5">
        <v>137.5</v>
      </c>
      <c r="H1272" s="5">
        <f t="shared" si="19"/>
        <v>412.5</v>
      </c>
    </row>
    <row r="1273" customFormat="1" hidden="1" spans="1:8">
      <c r="A1273" s="2">
        <v>46172</v>
      </c>
      <c r="B1273" s="3">
        <v>1607874</v>
      </c>
      <c r="C1273" s="3" t="s">
        <v>150</v>
      </c>
      <c r="D1273" s="4">
        <v>20312967</v>
      </c>
      <c r="E1273" s="3" t="s">
        <v>289</v>
      </c>
      <c r="F1273" s="4">
        <v>2</v>
      </c>
      <c r="G1273" s="5">
        <v>176</v>
      </c>
      <c r="H1273" s="5">
        <f t="shared" si="19"/>
        <v>352</v>
      </c>
    </row>
    <row r="1274" customFormat="1" hidden="1" spans="1:8">
      <c r="A1274" s="2">
        <v>46172</v>
      </c>
      <c r="B1274" s="3">
        <v>1607874</v>
      </c>
      <c r="C1274" s="3" t="s">
        <v>150</v>
      </c>
      <c r="D1274" s="4">
        <v>20321251</v>
      </c>
      <c r="E1274" s="3" t="s">
        <v>311</v>
      </c>
      <c r="F1274" s="4">
        <v>1</v>
      </c>
      <c r="G1274" s="5">
        <v>187</v>
      </c>
      <c r="H1274" s="5">
        <f t="shared" si="19"/>
        <v>187</v>
      </c>
    </row>
    <row r="1275" customFormat="1" hidden="1" spans="1:8">
      <c r="A1275" s="2">
        <v>46172</v>
      </c>
      <c r="B1275" s="3">
        <v>1607874</v>
      </c>
      <c r="C1275" s="3" t="s">
        <v>150</v>
      </c>
      <c r="D1275" s="4">
        <v>20424417</v>
      </c>
      <c r="E1275" s="3" t="s">
        <v>312</v>
      </c>
      <c r="F1275" s="4">
        <v>1</v>
      </c>
      <c r="G1275" s="5">
        <v>66</v>
      </c>
      <c r="H1275" s="5">
        <f t="shared" si="19"/>
        <v>66</v>
      </c>
    </row>
    <row r="1276" customFormat="1" hidden="1" spans="1:8">
      <c r="A1276" s="2">
        <v>46172</v>
      </c>
      <c r="B1276" s="3">
        <v>1607874</v>
      </c>
      <c r="C1276" s="3" t="s">
        <v>156</v>
      </c>
      <c r="D1276" s="4">
        <v>20322234</v>
      </c>
      <c r="E1276" s="3" t="s">
        <v>274</v>
      </c>
      <c r="F1276" s="4">
        <v>1</v>
      </c>
      <c r="G1276" s="5">
        <v>2.5</v>
      </c>
      <c r="H1276" s="5">
        <f t="shared" si="19"/>
        <v>2.5</v>
      </c>
    </row>
    <row r="1277" customFormat="1" hidden="1" spans="1:8">
      <c r="A1277" s="2">
        <v>46172</v>
      </c>
      <c r="B1277" s="3">
        <v>1607874</v>
      </c>
      <c r="C1277" s="3" t="s">
        <v>156</v>
      </c>
      <c r="D1277" s="4">
        <v>20322304</v>
      </c>
      <c r="E1277" s="3" t="s">
        <v>275</v>
      </c>
      <c r="F1277" s="4">
        <v>6</v>
      </c>
      <c r="G1277" s="5">
        <v>25</v>
      </c>
      <c r="H1277" s="5">
        <f t="shared" si="19"/>
        <v>150</v>
      </c>
    </row>
    <row r="1278" customFormat="1" hidden="1" spans="1:8">
      <c r="A1278" s="2">
        <v>46172</v>
      </c>
      <c r="B1278" s="3">
        <v>1607874</v>
      </c>
      <c r="C1278" s="3" t="s">
        <v>156</v>
      </c>
      <c r="D1278" s="4">
        <v>20330757</v>
      </c>
      <c r="E1278" s="3" t="s">
        <v>288</v>
      </c>
      <c r="F1278" s="4">
        <v>2</v>
      </c>
      <c r="G1278" s="5">
        <v>35</v>
      </c>
      <c r="H1278" s="5">
        <f t="shared" si="19"/>
        <v>70</v>
      </c>
    </row>
    <row r="1279" customFormat="1" hidden="1" spans="1:8">
      <c r="A1279" s="2">
        <v>46172</v>
      </c>
      <c r="B1279" s="3">
        <v>1607874</v>
      </c>
      <c r="C1279" s="3" t="s">
        <v>152</v>
      </c>
      <c r="D1279" s="4">
        <v>20340286</v>
      </c>
      <c r="E1279" s="3" t="s">
        <v>169</v>
      </c>
      <c r="F1279" s="4">
        <v>1</v>
      </c>
      <c r="G1279" s="5">
        <v>55</v>
      </c>
      <c r="H1279" s="5">
        <f t="shared" si="19"/>
        <v>55</v>
      </c>
    </row>
    <row r="1280" customFormat="1" hidden="1" spans="1:8">
      <c r="A1280" s="2">
        <v>46172</v>
      </c>
      <c r="B1280" s="3">
        <v>1607874</v>
      </c>
      <c r="C1280" s="3" t="s">
        <v>153</v>
      </c>
      <c r="D1280" s="4">
        <v>20321257</v>
      </c>
      <c r="E1280" s="3" t="s">
        <v>68</v>
      </c>
      <c r="F1280" s="4">
        <v>7</v>
      </c>
      <c r="G1280" s="5">
        <v>16.5</v>
      </c>
      <c r="H1280" s="5">
        <f t="shared" si="19"/>
        <v>115.5</v>
      </c>
    </row>
    <row r="1281" customFormat="1" hidden="1" spans="1:8">
      <c r="A1281" s="2">
        <v>46172</v>
      </c>
      <c r="B1281" s="3">
        <v>1607874</v>
      </c>
      <c r="C1281" s="3" t="s">
        <v>153</v>
      </c>
      <c r="D1281" s="4">
        <v>20318334</v>
      </c>
      <c r="E1281" s="3" t="s">
        <v>186</v>
      </c>
      <c r="F1281" s="4">
        <v>1</v>
      </c>
      <c r="G1281" s="5">
        <v>16.5</v>
      </c>
      <c r="H1281" s="5">
        <f t="shared" si="19"/>
        <v>16.5</v>
      </c>
    </row>
    <row r="1282" customFormat="1" hidden="1" spans="1:8">
      <c r="A1282" s="2">
        <v>46172</v>
      </c>
      <c r="B1282" s="3">
        <v>1607874</v>
      </c>
      <c r="C1282" s="3" t="s">
        <v>153</v>
      </c>
      <c r="D1282" s="4">
        <v>20343399</v>
      </c>
      <c r="E1282" s="3" t="s">
        <v>228</v>
      </c>
      <c r="F1282" s="4">
        <v>1</v>
      </c>
      <c r="G1282" s="5">
        <v>33</v>
      </c>
      <c r="H1282" s="5">
        <f t="shared" ref="H1282:H1345" si="20">G1282*F1282</f>
        <v>33</v>
      </c>
    </row>
    <row r="1283" customFormat="1" hidden="1" spans="1:8">
      <c r="A1283" s="2">
        <v>46172</v>
      </c>
      <c r="B1283" s="3">
        <v>1607874</v>
      </c>
      <c r="C1283" s="3" t="s">
        <v>153</v>
      </c>
      <c r="D1283" s="4">
        <v>20318378</v>
      </c>
      <c r="E1283" s="3" t="s">
        <v>231</v>
      </c>
      <c r="F1283" s="4">
        <v>1</v>
      </c>
      <c r="G1283" s="5">
        <v>16.5</v>
      </c>
      <c r="H1283" s="5">
        <f t="shared" si="20"/>
        <v>16.5</v>
      </c>
    </row>
    <row r="1284" customFormat="1" hidden="1" spans="1:8">
      <c r="A1284" s="2">
        <v>46172</v>
      </c>
      <c r="B1284" s="3">
        <v>1607874</v>
      </c>
      <c r="C1284" s="3" t="s">
        <v>153</v>
      </c>
      <c r="D1284" s="4">
        <v>20318340</v>
      </c>
      <c r="E1284" s="3" t="s">
        <v>240</v>
      </c>
      <c r="F1284" s="4">
        <v>1</v>
      </c>
      <c r="G1284" s="5">
        <v>16.5</v>
      </c>
      <c r="H1284" s="5">
        <f t="shared" si="20"/>
        <v>16.5</v>
      </c>
    </row>
    <row r="1285" customFormat="1" hidden="1" spans="1:8">
      <c r="A1285" s="2">
        <v>46172</v>
      </c>
      <c r="B1285" s="3">
        <v>1607874</v>
      </c>
      <c r="C1285" s="3" t="s">
        <v>153</v>
      </c>
      <c r="D1285" s="4">
        <v>20321250</v>
      </c>
      <c r="E1285" s="3" t="s">
        <v>259</v>
      </c>
      <c r="F1285" s="4">
        <v>2</v>
      </c>
      <c r="G1285" s="5">
        <v>16.5</v>
      </c>
      <c r="H1285" s="5">
        <f t="shared" si="20"/>
        <v>33</v>
      </c>
    </row>
    <row r="1286" customFormat="1" hidden="1" spans="1:8">
      <c r="A1286" s="2">
        <v>46172</v>
      </c>
      <c r="B1286" s="3">
        <v>1607874</v>
      </c>
      <c r="C1286" s="3" t="s">
        <v>153</v>
      </c>
      <c r="D1286" s="4">
        <v>20340289</v>
      </c>
      <c r="E1286" s="3" t="s">
        <v>272</v>
      </c>
      <c r="F1286" s="4">
        <v>1</v>
      </c>
      <c r="G1286" s="5">
        <v>16.5</v>
      </c>
      <c r="H1286" s="5">
        <f t="shared" si="20"/>
        <v>16.5</v>
      </c>
    </row>
    <row r="1287" customFormat="1" hidden="1" spans="1:8">
      <c r="A1287" s="2">
        <v>46172</v>
      </c>
      <c r="B1287" s="3">
        <v>1607874</v>
      </c>
      <c r="C1287" s="3" t="s">
        <v>153</v>
      </c>
      <c r="D1287" s="4">
        <v>20318336</v>
      </c>
      <c r="E1287" s="3" t="s">
        <v>303</v>
      </c>
      <c r="F1287" s="4">
        <v>2</v>
      </c>
      <c r="G1287" s="5">
        <v>16.5</v>
      </c>
      <c r="H1287" s="5">
        <f t="shared" si="20"/>
        <v>33</v>
      </c>
    </row>
    <row r="1288" customFormat="1" hidden="1" spans="1:8">
      <c r="A1288" s="2">
        <v>46172</v>
      </c>
      <c r="B1288" s="3">
        <v>1607874</v>
      </c>
      <c r="C1288" s="3" t="s">
        <v>153</v>
      </c>
      <c r="D1288" s="4">
        <v>20318342</v>
      </c>
      <c r="E1288" s="3" t="s">
        <v>304</v>
      </c>
      <c r="F1288" s="4">
        <v>1</v>
      </c>
      <c r="G1288" s="5">
        <v>16.5</v>
      </c>
      <c r="H1288" s="5">
        <f t="shared" si="20"/>
        <v>16.5</v>
      </c>
    </row>
    <row r="1289" customFormat="1" hidden="1" spans="1:8">
      <c r="A1289" s="2">
        <v>46172</v>
      </c>
      <c r="B1289" s="3">
        <v>1607874</v>
      </c>
      <c r="C1289" s="3" t="s">
        <v>153</v>
      </c>
      <c r="D1289" s="4">
        <v>20322118</v>
      </c>
      <c r="E1289" s="3" t="s">
        <v>306</v>
      </c>
      <c r="F1289" s="4">
        <v>1</v>
      </c>
      <c r="G1289" s="5">
        <v>16.5</v>
      </c>
      <c r="H1289" s="5">
        <f t="shared" si="20"/>
        <v>16.5</v>
      </c>
    </row>
    <row r="1290" customFormat="1" hidden="1" spans="1:8">
      <c r="A1290" s="2">
        <v>46173</v>
      </c>
      <c r="B1290" s="3">
        <v>1607961</v>
      </c>
      <c r="C1290" s="3" t="s">
        <v>150</v>
      </c>
      <c r="D1290" s="4">
        <v>20312966</v>
      </c>
      <c r="E1290" s="3" t="s">
        <v>258</v>
      </c>
      <c r="F1290" s="4">
        <v>1</v>
      </c>
      <c r="G1290" s="5">
        <v>159.5</v>
      </c>
      <c r="H1290" s="5">
        <f t="shared" si="20"/>
        <v>159.5</v>
      </c>
    </row>
    <row r="1291" customFormat="1" hidden="1" spans="1:8">
      <c r="A1291" s="2">
        <v>46173</v>
      </c>
      <c r="B1291" s="3">
        <v>1607961</v>
      </c>
      <c r="C1291" s="3" t="s">
        <v>150</v>
      </c>
      <c r="D1291" s="4">
        <v>20312967</v>
      </c>
      <c r="E1291" s="3" t="s">
        <v>289</v>
      </c>
      <c r="F1291" s="4">
        <v>3</v>
      </c>
      <c r="G1291" s="5">
        <v>176</v>
      </c>
      <c r="H1291" s="5">
        <f t="shared" si="20"/>
        <v>528</v>
      </c>
    </row>
    <row r="1292" customFormat="1" hidden="1" spans="1:8">
      <c r="A1292" s="2">
        <v>46173</v>
      </c>
      <c r="B1292" s="3">
        <v>1607961</v>
      </c>
      <c r="C1292" s="3" t="s">
        <v>156</v>
      </c>
      <c r="D1292" s="4">
        <v>20322235</v>
      </c>
      <c r="E1292" s="3" t="s">
        <v>111</v>
      </c>
      <c r="F1292" s="4">
        <v>1</v>
      </c>
      <c r="G1292" s="5">
        <v>2.5</v>
      </c>
      <c r="H1292" s="5">
        <f t="shared" si="20"/>
        <v>2.5</v>
      </c>
    </row>
    <row r="1293" customFormat="1" hidden="1" spans="1:8">
      <c r="A1293" s="2">
        <v>46173</v>
      </c>
      <c r="B1293" s="3">
        <v>1607961</v>
      </c>
      <c r="C1293" s="3" t="s">
        <v>156</v>
      </c>
      <c r="D1293" s="4">
        <v>20322234</v>
      </c>
      <c r="E1293" s="3" t="s">
        <v>274</v>
      </c>
      <c r="F1293" s="4">
        <v>1</v>
      </c>
      <c r="G1293" s="5">
        <v>2.5</v>
      </c>
      <c r="H1293" s="5">
        <f t="shared" si="20"/>
        <v>2.5</v>
      </c>
    </row>
    <row r="1294" customFormat="1" hidden="1" spans="1:8">
      <c r="A1294" s="2">
        <v>46173</v>
      </c>
      <c r="B1294" s="3">
        <v>1607961</v>
      </c>
      <c r="C1294" s="3" t="s">
        <v>156</v>
      </c>
      <c r="D1294" s="4">
        <v>20331736</v>
      </c>
      <c r="E1294" s="3" t="s">
        <v>287</v>
      </c>
      <c r="F1294" s="4">
        <v>4</v>
      </c>
      <c r="G1294" s="5">
        <v>25</v>
      </c>
      <c r="H1294" s="5">
        <f t="shared" si="20"/>
        <v>100</v>
      </c>
    </row>
    <row r="1295" customFormat="1" hidden="1" spans="1:8">
      <c r="A1295" s="2">
        <v>46173</v>
      </c>
      <c r="B1295" s="3">
        <v>1607961</v>
      </c>
      <c r="C1295" s="3" t="s">
        <v>156</v>
      </c>
      <c r="D1295" s="4">
        <v>20330757</v>
      </c>
      <c r="E1295" s="3" t="s">
        <v>288</v>
      </c>
      <c r="F1295" s="4">
        <v>2</v>
      </c>
      <c r="G1295" s="5">
        <v>35</v>
      </c>
      <c r="H1295" s="5">
        <f t="shared" si="20"/>
        <v>70</v>
      </c>
    </row>
    <row r="1296" customFormat="1" hidden="1" spans="1:8">
      <c r="A1296" s="2">
        <v>46173</v>
      </c>
      <c r="B1296" s="3">
        <v>1607961</v>
      </c>
      <c r="C1296" s="3" t="s">
        <v>156</v>
      </c>
      <c r="D1296" s="4">
        <v>20323697</v>
      </c>
      <c r="E1296" s="3" t="s">
        <v>290</v>
      </c>
      <c r="F1296" s="4">
        <v>1</v>
      </c>
      <c r="G1296" s="5">
        <v>4</v>
      </c>
      <c r="H1296" s="5">
        <f t="shared" si="20"/>
        <v>4</v>
      </c>
    </row>
    <row r="1297" customFormat="1" hidden="1" spans="1:8">
      <c r="A1297" s="2">
        <v>46173</v>
      </c>
      <c r="B1297" s="3">
        <v>1607961</v>
      </c>
      <c r="C1297" s="3" t="s">
        <v>153</v>
      </c>
      <c r="D1297" s="4">
        <v>20321257</v>
      </c>
      <c r="E1297" s="3" t="s">
        <v>68</v>
      </c>
      <c r="F1297" s="4">
        <v>1</v>
      </c>
      <c r="G1297" s="5">
        <v>16.5</v>
      </c>
      <c r="H1297" s="5">
        <f t="shared" si="20"/>
        <v>16.5</v>
      </c>
    </row>
    <row r="1298" customFormat="1" hidden="1" spans="1:8">
      <c r="A1298" s="2">
        <v>46173</v>
      </c>
      <c r="B1298" s="3">
        <v>1607961</v>
      </c>
      <c r="C1298" s="3" t="s">
        <v>153</v>
      </c>
      <c r="D1298" s="4">
        <v>20318334</v>
      </c>
      <c r="E1298" s="3" t="s">
        <v>186</v>
      </c>
      <c r="F1298" s="4">
        <v>2</v>
      </c>
      <c r="G1298" s="5">
        <v>16.5</v>
      </c>
      <c r="H1298" s="5">
        <f t="shared" si="20"/>
        <v>33</v>
      </c>
    </row>
    <row r="1299" customFormat="1" hidden="1" spans="1:8">
      <c r="A1299" s="2">
        <v>46173</v>
      </c>
      <c r="B1299" s="3">
        <v>1607961</v>
      </c>
      <c r="C1299" s="3" t="s">
        <v>153</v>
      </c>
      <c r="D1299" s="4">
        <v>20321604</v>
      </c>
      <c r="E1299" s="3" t="s">
        <v>233</v>
      </c>
      <c r="F1299" s="4">
        <v>1</v>
      </c>
      <c r="G1299" s="5">
        <v>16.5</v>
      </c>
      <c r="H1299" s="5">
        <f t="shared" si="20"/>
        <v>16.5</v>
      </c>
    </row>
    <row r="1300" customFormat="1" hidden="1" spans="1:8">
      <c r="A1300" s="2">
        <v>46173</v>
      </c>
      <c r="B1300" s="3">
        <v>1607961</v>
      </c>
      <c r="C1300" s="3" t="s">
        <v>153</v>
      </c>
      <c r="D1300" s="4">
        <v>20321250</v>
      </c>
      <c r="E1300" s="3" t="s">
        <v>259</v>
      </c>
      <c r="F1300" s="4">
        <v>5</v>
      </c>
      <c r="G1300" s="5">
        <v>16.5</v>
      </c>
      <c r="H1300" s="5">
        <f t="shared" si="20"/>
        <v>82.5</v>
      </c>
    </row>
    <row r="1301" customFormat="1" hidden="1" spans="1:8">
      <c r="A1301" s="2">
        <v>46173</v>
      </c>
      <c r="B1301" s="3">
        <v>1607961</v>
      </c>
      <c r="C1301" s="3" t="s">
        <v>153</v>
      </c>
      <c r="D1301" s="4">
        <v>20340289</v>
      </c>
      <c r="E1301" s="3" t="s">
        <v>272</v>
      </c>
      <c r="F1301" s="4">
        <v>3</v>
      </c>
      <c r="G1301" s="5">
        <v>16.5</v>
      </c>
      <c r="H1301" s="5">
        <f t="shared" si="20"/>
        <v>49.5</v>
      </c>
    </row>
    <row r="1302" customFormat="1" hidden="1" spans="1:8">
      <c r="A1302" s="2">
        <v>46173</v>
      </c>
      <c r="B1302" s="3">
        <v>1607961</v>
      </c>
      <c r="C1302" s="3" t="s">
        <v>153</v>
      </c>
      <c r="D1302" s="4">
        <v>20318389</v>
      </c>
      <c r="E1302" s="3" t="s">
        <v>302</v>
      </c>
      <c r="F1302" s="4">
        <v>2</v>
      </c>
      <c r="G1302" s="5">
        <v>16.5</v>
      </c>
      <c r="H1302" s="5">
        <f t="shared" si="20"/>
        <v>33</v>
      </c>
    </row>
    <row r="1303" customFormat="1" hidden="1" spans="1:8">
      <c r="A1303" s="2">
        <v>46173</v>
      </c>
      <c r="B1303" s="3">
        <v>1607961</v>
      </c>
      <c r="C1303" s="3" t="s">
        <v>153</v>
      </c>
      <c r="D1303" s="4">
        <v>20318336</v>
      </c>
      <c r="E1303" s="3" t="s">
        <v>303</v>
      </c>
      <c r="F1303" s="4">
        <v>3</v>
      </c>
      <c r="G1303" s="5">
        <v>16.5</v>
      </c>
      <c r="H1303" s="5">
        <f t="shared" si="20"/>
        <v>49.5</v>
      </c>
    </row>
    <row r="1304" customFormat="1" hidden="1" spans="1:8">
      <c r="A1304" s="2">
        <v>46174</v>
      </c>
      <c r="B1304" s="3">
        <v>1608011</v>
      </c>
      <c r="C1304" s="3" t="s">
        <v>150</v>
      </c>
      <c r="D1304" s="4">
        <v>20321719</v>
      </c>
      <c r="E1304" s="3" t="s">
        <v>163</v>
      </c>
      <c r="F1304" s="4">
        <v>1</v>
      </c>
      <c r="G1304" s="5">
        <v>49.5</v>
      </c>
      <c r="H1304" s="5">
        <f t="shared" si="20"/>
        <v>49.5</v>
      </c>
    </row>
    <row r="1305" customFormat="1" hidden="1" spans="1:8">
      <c r="A1305" s="2">
        <v>46174</v>
      </c>
      <c r="B1305" s="3">
        <v>1608011</v>
      </c>
      <c r="C1305" s="3" t="s">
        <v>156</v>
      </c>
      <c r="D1305" s="4">
        <v>20322304</v>
      </c>
      <c r="E1305" s="3" t="s">
        <v>275</v>
      </c>
      <c r="F1305" s="4">
        <v>6</v>
      </c>
      <c r="G1305" s="5">
        <v>25</v>
      </c>
      <c r="H1305" s="5">
        <f t="shared" si="20"/>
        <v>150</v>
      </c>
    </row>
    <row r="1306" customFormat="1" hidden="1" spans="1:8">
      <c r="A1306" s="2">
        <v>46174</v>
      </c>
      <c r="B1306" s="3">
        <v>1608089</v>
      </c>
      <c r="C1306" s="3" t="s">
        <v>150</v>
      </c>
      <c r="D1306" s="4">
        <v>20321252</v>
      </c>
      <c r="E1306" s="3" t="s">
        <v>162</v>
      </c>
      <c r="F1306" s="4">
        <v>1</v>
      </c>
      <c r="G1306" s="5">
        <v>49.5</v>
      </c>
      <c r="H1306" s="5">
        <f t="shared" si="20"/>
        <v>49.5</v>
      </c>
    </row>
    <row r="1307" customFormat="1" hidden="1" spans="1:8">
      <c r="A1307" s="2">
        <v>46174</v>
      </c>
      <c r="B1307" s="3">
        <v>1608101</v>
      </c>
      <c r="C1307" s="3" t="s">
        <v>150</v>
      </c>
      <c r="D1307" s="4">
        <v>20312967</v>
      </c>
      <c r="E1307" s="3" t="s">
        <v>289</v>
      </c>
      <c r="F1307" s="4">
        <v>1</v>
      </c>
      <c r="G1307" s="5">
        <v>176</v>
      </c>
      <c r="H1307" s="5">
        <f t="shared" si="20"/>
        <v>176</v>
      </c>
    </row>
    <row r="1308" customFormat="1" hidden="1" spans="1:8">
      <c r="A1308" s="2">
        <v>46174</v>
      </c>
      <c r="B1308" s="3">
        <v>1608106</v>
      </c>
      <c r="C1308" s="3" t="s">
        <v>150</v>
      </c>
      <c r="D1308" s="4">
        <v>20327195</v>
      </c>
      <c r="E1308" s="3" t="s">
        <v>268</v>
      </c>
      <c r="F1308" s="4">
        <v>1</v>
      </c>
      <c r="G1308" s="5">
        <v>44</v>
      </c>
      <c r="H1308" s="5">
        <f t="shared" si="20"/>
        <v>44</v>
      </c>
    </row>
    <row r="1309" customFormat="1" hidden="1" spans="1:8">
      <c r="A1309" s="2">
        <v>46174</v>
      </c>
      <c r="B1309" s="3">
        <v>1608106</v>
      </c>
      <c r="C1309" s="3" t="s">
        <v>153</v>
      </c>
      <c r="D1309" s="4">
        <v>20318334</v>
      </c>
      <c r="E1309" s="3" t="s">
        <v>186</v>
      </c>
      <c r="F1309" s="4">
        <v>1</v>
      </c>
      <c r="G1309" s="5">
        <v>16.5</v>
      </c>
      <c r="H1309" s="5">
        <f t="shared" si="20"/>
        <v>16.5</v>
      </c>
    </row>
    <row r="1310" customFormat="1" hidden="1" spans="1:8">
      <c r="A1310" s="2">
        <v>46174</v>
      </c>
      <c r="B1310" s="3">
        <v>1608111</v>
      </c>
      <c r="C1310" s="3" t="s">
        <v>150</v>
      </c>
      <c r="D1310" s="4">
        <v>20312966</v>
      </c>
      <c r="E1310" s="3" t="s">
        <v>258</v>
      </c>
      <c r="F1310" s="4">
        <v>4</v>
      </c>
      <c r="G1310" s="5">
        <v>159.5</v>
      </c>
      <c r="H1310" s="5">
        <f t="shared" si="20"/>
        <v>638</v>
      </c>
    </row>
    <row r="1311" customFormat="1" hidden="1" spans="1:8">
      <c r="A1311" s="2">
        <v>46174</v>
      </c>
      <c r="B1311" s="3">
        <v>1608111</v>
      </c>
      <c r="C1311" s="3" t="s">
        <v>150</v>
      </c>
      <c r="D1311" s="4">
        <v>20312965</v>
      </c>
      <c r="E1311" s="3" t="s">
        <v>112</v>
      </c>
      <c r="F1311" s="4">
        <v>4</v>
      </c>
      <c r="G1311" s="5">
        <v>137.5</v>
      </c>
      <c r="H1311" s="5">
        <f t="shared" si="20"/>
        <v>550</v>
      </c>
    </row>
    <row r="1312" customFormat="1" hidden="1" spans="1:8">
      <c r="A1312" s="2">
        <v>46174</v>
      </c>
      <c r="B1312" s="3">
        <v>1608111</v>
      </c>
      <c r="C1312" s="3" t="s">
        <v>150</v>
      </c>
      <c r="D1312" s="4">
        <v>20312967</v>
      </c>
      <c r="E1312" s="3" t="s">
        <v>289</v>
      </c>
      <c r="F1312" s="4">
        <v>3</v>
      </c>
      <c r="G1312" s="5">
        <v>176</v>
      </c>
      <c r="H1312" s="5">
        <f t="shared" si="20"/>
        <v>528</v>
      </c>
    </row>
    <row r="1313" customFormat="1" ht="25.5" hidden="1" spans="1:8">
      <c r="A1313" s="2">
        <v>46174</v>
      </c>
      <c r="B1313" s="3">
        <v>1608111</v>
      </c>
      <c r="C1313" s="3" t="s">
        <v>154</v>
      </c>
      <c r="D1313" s="4">
        <v>20327255</v>
      </c>
      <c r="E1313" s="3" t="s">
        <v>171</v>
      </c>
      <c r="F1313" s="4">
        <v>1</v>
      </c>
      <c r="G1313" s="5">
        <v>55</v>
      </c>
      <c r="H1313" s="5">
        <f t="shared" si="20"/>
        <v>55</v>
      </c>
    </row>
    <row r="1314" customFormat="1" hidden="1" spans="1:8">
      <c r="A1314" s="2">
        <v>46174</v>
      </c>
      <c r="B1314" s="3">
        <v>1608111</v>
      </c>
      <c r="C1314" s="3" t="s">
        <v>154</v>
      </c>
      <c r="D1314" s="4">
        <v>20414953</v>
      </c>
      <c r="E1314" s="3" t="s">
        <v>208</v>
      </c>
      <c r="F1314" s="4">
        <v>1</v>
      </c>
      <c r="G1314" s="5">
        <v>49.5</v>
      </c>
      <c r="H1314" s="5">
        <f t="shared" si="20"/>
        <v>49.5</v>
      </c>
    </row>
    <row r="1315" customFormat="1" hidden="1" spans="1:8">
      <c r="A1315" s="2">
        <v>46174</v>
      </c>
      <c r="B1315" s="3">
        <v>1608111</v>
      </c>
      <c r="C1315" s="3" t="s">
        <v>154</v>
      </c>
      <c r="D1315" s="4">
        <v>20414890</v>
      </c>
      <c r="E1315" s="3" t="s">
        <v>209</v>
      </c>
      <c r="F1315" s="4">
        <v>1</v>
      </c>
      <c r="G1315" s="5">
        <v>49.5</v>
      </c>
      <c r="H1315" s="5">
        <f t="shared" si="20"/>
        <v>49.5</v>
      </c>
    </row>
    <row r="1316" customFormat="1" hidden="1" spans="1:8">
      <c r="A1316" s="2">
        <v>46174</v>
      </c>
      <c r="B1316" s="3">
        <v>1608144</v>
      </c>
      <c r="C1316" s="3" t="s">
        <v>154</v>
      </c>
      <c r="D1316" s="4">
        <v>20410992</v>
      </c>
      <c r="E1316" s="3" t="s">
        <v>211</v>
      </c>
      <c r="F1316" s="4">
        <v>1</v>
      </c>
      <c r="G1316" s="5">
        <v>49.5</v>
      </c>
      <c r="H1316" s="5">
        <f t="shared" si="20"/>
        <v>49.5</v>
      </c>
    </row>
    <row r="1317" customFormat="1" hidden="1" spans="1:8">
      <c r="A1317" s="2">
        <v>46174</v>
      </c>
      <c r="B1317" s="3">
        <v>1608144</v>
      </c>
      <c r="C1317" s="3" t="s">
        <v>156</v>
      </c>
      <c r="D1317" s="4">
        <v>20322243</v>
      </c>
      <c r="E1317" s="3" t="s">
        <v>117</v>
      </c>
      <c r="F1317" s="4">
        <v>1</v>
      </c>
      <c r="G1317" s="5">
        <v>30</v>
      </c>
      <c r="H1317" s="5">
        <f t="shared" si="20"/>
        <v>30</v>
      </c>
    </row>
    <row r="1318" customFormat="1" hidden="1" spans="1:8">
      <c r="A1318" s="2">
        <v>46174</v>
      </c>
      <c r="B1318" s="3">
        <v>1608144</v>
      </c>
      <c r="C1318" s="3" t="s">
        <v>156</v>
      </c>
      <c r="D1318" s="4">
        <v>20322234</v>
      </c>
      <c r="E1318" s="3" t="s">
        <v>274</v>
      </c>
      <c r="F1318" s="4">
        <v>4</v>
      </c>
      <c r="G1318" s="5">
        <v>2.5</v>
      </c>
      <c r="H1318" s="5">
        <f t="shared" si="20"/>
        <v>10</v>
      </c>
    </row>
    <row r="1319" customFormat="1" hidden="1" spans="1:8">
      <c r="A1319" s="2">
        <v>46174</v>
      </c>
      <c r="B1319" s="3">
        <v>1608144</v>
      </c>
      <c r="C1319" s="3" t="s">
        <v>156</v>
      </c>
      <c r="D1319" s="4">
        <v>20330757</v>
      </c>
      <c r="E1319" s="3" t="s">
        <v>288</v>
      </c>
      <c r="F1319" s="4">
        <v>4</v>
      </c>
      <c r="G1319" s="5">
        <v>35</v>
      </c>
      <c r="H1319" s="5">
        <f t="shared" si="20"/>
        <v>140</v>
      </c>
    </row>
    <row r="1320" customFormat="1" hidden="1" spans="1:8">
      <c r="A1320" s="2">
        <v>46174</v>
      </c>
      <c r="B1320" s="3">
        <v>1608144</v>
      </c>
      <c r="C1320" s="3" t="s">
        <v>156</v>
      </c>
      <c r="D1320" s="4">
        <v>20402355</v>
      </c>
      <c r="E1320" s="3" t="s">
        <v>291</v>
      </c>
      <c r="F1320" s="4">
        <v>1</v>
      </c>
      <c r="G1320" s="5">
        <v>25</v>
      </c>
      <c r="H1320" s="5">
        <f t="shared" si="20"/>
        <v>25</v>
      </c>
    </row>
    <row r="1321" customFormat="1" hidden="1" spans="1:8">
      <c r="A1321" s="2">
        <v>46174</v>
      </c>
      <c r="B1321" s="3">
        <v>1608144</v>
      </c>
      <c r="C1321" s="3" t="s">
        <v>153</v>
      </c>
      <c r="D1321" s="4">
        <v>20321257</v>
      </c>
      <c r="E1321" s="3" t="s">
        <v>68</v>
      </c>
      <c r="F1321" s="4">
        <v>1</v>
      </c>
      <c r="G1321" s="5">
        <v>16.5</v>
      </c>
      <c r="H1321" s="5">
        <f t="shared" si="20"/>
        <v>16.5</v>
      </c>
    </row>
    <row r="1322" customFormat="1" hidden="1" spans="1:8">
      <c r="A1322" s="2">
        <v>46174</v>
      </c>
      <c r="B1322" s="3">
        <v>1608144</v>
      </c>
      <c r="C1322" s="3" t="s">
        <v>153</v>
      </c>
      <c r="D1322" s="4">
        <v>20318334</v>
      </c>
      <c r="E1322" s="3" t="s">
        <v>186</v>
      </c>
      <c r="F1322" s="4">
        <v>2</v>
      </c>
      <c r="G1322" s="5">
        <v>16.5</v>
      </c>
      <c r="H1322" s="5">
        <f t="shared" si="20"/>
        <v>33</v>
      </c>
    </row>
    <row r="1323" customFormat="1" hidden="1" spans="1:8">
      <c r="A1323" s="2">
        <v>46174</v>
      </c>
      <c r="B1323" s="3">
        <v>1608144</v>
      </c>
      <c r="C1323" s="3" t="s">
        <v>153</v>
      </c>
      <c r="D1323" s="4">
        <v>20374808</v>
      </c>
      <c r="E1323" s="3" t="s">
        <v>253</v>
      </c>
      <c r="F1323" s="4">
        <v>1</v>
      </c>
      <c r="G1323" s="5">
        <v>16.5</v>
      </c>
      <c r="H1323" s="5">
        <f t="shared" si="20"/>
        <v>16.5</v>
      </c>
    </row>
    <row r="1324" customFormat="1" hidden="1" spans="1:8">
      <c r="A1324" s="2">
        <v>46174</v>
      </c>
      <c r="B1324" s="3">
        <v>1608144</v>
      </c>
      <c r="C1324" s="3" t="s">
        <v>153</v>
      </c>
      <c r="D1324" s="4">
        <v>20321250</v>
      </c>
      <c r="E1324" s="3" t="s">
        <v>259</v>
      </c>
      <c r="F1324" s="4">
        <v>1</v>
      </c>
      <c r="G1324" s="5">
        <v>16.5</v>
      </c>
      <c r="H1324" s="5">
        <f t="shared" si="20"/>
        <v>16.5</v>
      </c>
    </row>
    <row r="1325" customFormat="1" hidden="1" spans="1:8">
      <c r="A1325" s="2">
        <v>46174</v>
      </c>
      <c r="B1325" s="3">
        <v>1608144</v>
      </c>
      <c r="C1325" s="3" t="s">
        <v>153</v>
      </c>
      <c r="D1325" s="4">
        <v>20383164</v>
      </c>
      <c r="E1325" s="3" t="s">
        <v>273</v>
      </c>
      <c r="F1325" s="4">
        <v>1</v>
      </c>
      <c r="G1325" s="5">
        <v>22</v>
      </c>
      <c r="H1325" s="5">
        <f t="shared" si="20"/>
        <v>22</v>
      </c>
    </row>
    <row r="1326" customFormat="1" hidden="1" spans="1:8">
      <c r="A1326" s="2">
        <v>46174</v>
      </c>
      <c r="B1326" s="3">
        <v>1608144</v>
      </c>
      <c r="C1326" s="3" t="s">
        <v>153</v>
      </c>
      <c r="D1326" s="4">
        <v>20318336</v>
      </c>
      <c r="E1326" s="3" t="s">
        <v>303</v>
      </c>
      <c r="F1326" s="4">
        <v>1</v>
      </c>
      <c r="G1326" s="5">
        <v>16.5</v>
      </c>
      <c r="H1326" s="5">
        <f t="shared" si="20"/>
        <v>16.5</v>
      </c>
    </row>
    <row r="1327" customFormat="1" hidden="1" spans="1:8">
      <c r="A1327" s="2">
        <v>46174</v>
      </c>
      <c r="B1327" s="3">
        <v>1608147</v>
      </c>
      <c r="C1327" s="3" t="s">
        <v>150</v>
      </c>
      <c r="D1327" s="4">
        <v>20321476</v>
      </c>
      <c r="E1327" s="3" t="s">
        <v>161</v>
      </c>
      <c r="F1327" s="4">
        <v>1</v>
      </c>
      <c r="G1327" s="5">
        <v>55</v>
      </c>
      <c r="H1327" s="5">
        <f t="shared" si="20"/>
        <v>55</v>
      </c>
    </row>
    <row r="1328" customFormat="1" hidden="1" spans="1:8">
      <c r="A1328" s="2">
        <v>46174</v>
      </c>
      <c r="B1328" s="3">
        <v>1608147</v>
      </c>
      <c r="C1328" s="3" t="s">
        <v>150</v>
      </c>
      <c r="D1328" s="4">
        <v>20312966</v>
      </c>
      <c r="E1328" s="3" t="s">
        <v>258</v>
      </c>
      <c r="F1328" s="4">
        <v>3</v>
      </c>
      <c r="G1328" s="5">
        <v>159.5</v>
      </c>
      <c r="H1328" s="5">
        <f t="shared" si="20"/>
        <v>478.5</v>
      </c>
    </row>
    <row r="1329" customFormat="1" hidden="1" spans="1:8">
      <c r="A1329" s="2">
        <v>46174</v>
      </c>
      <c r="B1329" s="3">
        <v>1608147</v>
      </c>
      <c r="C1329" s="3" t="s">
        <v>150</v>
      </c>
      <c r="D1329" s="4">
        <v>20312965</v>
      </c>
      <c r="E1329" s="3" t="s">
        <v>112</v>
      </c>
      <c r="F1329" s="4">
        <v>1</v>
      </c>
      <c r="G1329" s="5">
        <v>137.5</v>
      </c>
      <c r="H1329" s="5">
        <f t="shared" si="20"/>
        <v>137.5</v>
      </c>
    </row>
    <row r="1330" customFormat="1" hidden="1" spans="1:8">
      <c r="A1330" s="2">
        <v>46174</v>
      </c>
      <c r="B1330" s="3">
        <v>1608147</v>
      </c>
      <c r="C1330" s="3" t="s">
        <v>150</v>
      </c>
      <c r="D1330" s="4">
        <v>20312968</v>
      </c>
      <c r="E1330" s="3" t="s">
        <v>276</v>
      </c>
      <c r="F1330" s="4">
        <v>1</v>
      </c>
      <c r="G1330" s="5">
        <v>187</v>
      </c>
      <c r="H1330" s="5">
        <f t="shared" si="20"/>
        <v>187</v>
      </c>
    </row>
    <row r="1331" customFormat="1" hidden="1" spans="1:8">
      <c r="A1331" s="2">
        <v>46174</v>
      </c>
      <c r="B1331" s="3">
        <v>1608147</v>
      </c>
      <c r="C1331" s="3" t="s">
        <v>150</v>
      </c>
      <c r="D1331" s="4">
        <v>20312967</v>
      </c>
      <c r="E1331" s="3" t="s">
        <v>289</v>
      </c>
      <c r="F1331" s="4">
        <v>7</v>
      </c>
      <c r="G1331" s="5">
        <v>176</v>
      </c>
      <c r="H1331" s="5">
        <f t="shared" si="20"/>
        <v>1232</v>
      </c>
    </row>
    <row r="1332" customFormat="1" hidden="1" spans="1:8">
      <c r="A1332" s="2">
        <v>46174</v>
      </c>
      <c r="B1332" s="3">
        <v>1608147</v>
      </c>
      <c r="C1332" s="3" t="s">
        <v>151</v>
      </c>
      <c r="D1332" s="4">
        <v>20337609</v>
      </c>
      <c r="E1332" s="3" t="s">
        <v>267</v>
      </c>
      <c r="F1332" s="4">
        <v>1</v>
      </c>
      <c r="G1332" s="5">
        <v>8</v>
      </c>
      <c r="H1332" s="5">
        <f t="shared" si="20"/>
        <v>8</v>
      </c>
    </row>
    <row r="1333" customFormat="1" hidden="1" spans="1:8">
      <c r="A1333" s="2">
        <v>46174</v>
      </c>
      <c r="B1333" s="3">
        <v>1608147</v>
      </c>
      <c r="C1333" s="3" t="s">
        <v>152</v>
      </c>
      <c r="D1333" s="4">
        <v>20366059</v>
      </c>
      <c r="E1333" s="3" t="s">
        <v>194</v>
      </c>
      <c r="F1333" s="4">
        <v>1</v>
      </c>
      <c r="G1333" s="5">
        <v>66</v>
      </c>
      <c r="H1333" s="5">
        <f t="shared" si="20"/>
        <v>66</v>
      </c>
    </row>
    <row r="1334" customFormat="1" hidden="1" spans="1:8">
      <c r="A1334" s="2">
        <v>46174</v>
      </c>
      <c r="B1334" s="3">
        <v>1608147</v>
      </c>
      <c r="C1334" s="3" t="s">
        <v>153</v>
      </c>
      <c r="D1334" s="4">
        <v>20321257</v>
      </c>
      <c r="E1334" s="3" t="s">
        <v>68</v>
      </c>
      <c r="F1334" s="4">
        <v>2</v>
      </c>
      <c r="G1334" s="5">
        <v>16.5</v>
      </c>
      <c r="H1334" s="5">
        <f t="shared" si="20"/>
        <v>33</v>
      </c>
    </row>
    <row r="1335" customFormat="1" hidden="1" spans="1:8">
      <c r="A1335" s="2">
        <v>46174</v>
      </c>
      <c r="B1335" s="3">
        <v>1608147</v>
      </c>
      <c r="C1335" s="3" t="s">
        <v>153</v>
      </c>
      <c r="D1335" s="4">
        <v>20318334</v>
      </c>
      <c r="E1335" s="3" t="s">
        <v>186</v>
      </c>
      <c r="F1335" s="4">
        <v>1</v>
      </c>
      <c r="G1335" s="5">
        <v>16.5</v>
      </c>
      <c r="H1335" s="5">
        <f t="shared" si="20"/>
        <v>16.5</v>
      </c>
    </row>
    <row r="1336" customFormat="1" hidden="1" spans="1:8">
      <c r="A1336" s="2">
        <v>46174</v>
      </c>
      <c r="B1336" s="3">
        <v>1608147</v>
      </c>
      <c r="C1336" s="3" t="s">
        <v>153</v>
      </c>
      <c r="D1336" s="4">
        <v>20363041</v>
      </c>
      <c r="E1336" s="3" t="s">
        <v>187</v>
      </c>
      <c r="F1336" s="4">
        <v>1</v>
      </c>
      <c r="G1336" s="5">
        <v>16.5</v>
      </c>
      <c r="H1336" s="5">
        <f t="shared" si="20"/>
        <v>16.5</v>
      </c>
    </row>
    <row r="1337" customFormat="1" hidden="1" spans="1:8">
      <c r="A1337" s="2">
        <v>46174</v>
      </c>
      <c r="B1337" s="3">
        <v>1608147</v>
      </c>
      <c r="C1337" s="3" t="s">
        <v>153</v>
      </c>
      <c r="D1337" s="4">
        <v>20343399</v>
      </c>
      <c r="E1337" s="3" t="s">
        <v>228</v>
      </c>
      <c r="F1337" s="4">
        <v>1</v>
      </c>
      <c r="G1337" s="5">
        <v>33</v>
      </c>
      <c r="H1337" s="5">
        <f t="shared" si="20"/>
        <v>33</v>
      </c>
    </row>
    <row r="1338" customFormat="1" hidden="1" spans="1:8">
      <c r="A1338" s="2">
        <v>46174</v>
      </c>
      <c r="B1338" s="3">
        <v>1608147</v>
      </c>
      <c r="C1338" s="3" t="s">
        <v>153</v>
      </c>
      <c r="D1338" s="4">
        <v>20318380</v>
      </c>
      <c r="E1338" s="3" t="s">
        <v>232</v>
      </c>
      <c r="F1338" s="4">
        <v>1</v>
      </c>
      <c r="G1338" s="5">
        <v>16.5</v>
      </c>
      <c r="H1338" s="5">
        <f t="shared" si="20"/>
        <v>16.5</v>
      </c>
    </row>
    <row r="1339" customFormat="1" hidden="1" spans="1:8">
      <c r="A1339" s="2">
        <v>46174</v>
      </c>
      <c r="B1339" s="3">
        <v>1608147</v>
      </c>
      <c r="C1339" s="3" t="s">
        <v>153</v>
      </c>
      <c r="D1339" s="4">
        <v>20318340</v>
      </c>
      <c r="E1339" s="3" t="s">
        <v>240</v>
      </c>
      <c r="F1339" s="4">
        <v>2</v>
      </c>
      <c r="G1339" s="5">
        <v>16.5</v>
      </c>
      <c r="H1339" s="5">
        <f t="shared" si="20"/>
        <v>33</v>
      </c>
    </row>
    <row r="1340" customFormat="1" hidden="1" spans="1:8">
      <c r="A1340" s="2">
        <v>46174</v>
      </c>
      <c r="B1340" s="3">
        <v>1608147</v>
      </c>
      <c r="C1340" s="3" t="s">
        <v>153</v>
      </c>
      <c r="D1340" s="4">
        <v>20374808</v>
      </c>
      <c r="E1340" s="3" t="s">
        <v>253</v>
      </c>
      <c r="F1340" s="4">
        <v>1</v>
      </c>
      <c r="G1340" s="5">
        <v>16.5</v>
      </c>
      <c r="H1340" s="5">
        <f t="shared" si="20"/>
        <v>16.5</v>
      </c>
    </row>
    <row r="1341" customFormat="1" hidden="1" spans="1:8">
      <c r="A1341" s="2">
        <v>46174</v>
      </c>
      <c r="B1341" s="3">
        <v>1608147</v>
      </c>
      <c r="C1341" s="3" t="s">
        <v>153</v>
      </c>
      <c r="D1341" s="4">
        <v>20321250</v>
      </c>
      <c r="E1341" s="3" t="s">
        <v>259</v>
      </c>
      <c r="F1341" s="4">
        <v>3</v>
      </c>
      <c r="G1341" s="5">
        <v>16.5</v>
      </c>
      <c r="H1341" s="5">
        <f t="shared" si="20"/>
        <v>49.5</v>
      </c>
    </row>
    <row r="1342" customFormat="1" hidden="1" spans="1:8">
      <c r="A1342" s="2">
        <v>46174</v>
      </c>
      <c r="B1342" s="3">
        <v>1608147</v>
      </c>
      <c r="C1342" s="3" t="s">
        <v>153</v>
      </c>
      <c r="D1342" s="4">
        <v>20340289</v>
      </c>
      <c r="E1342" s="3" t="s">
        <v>272</v>
      </c>
      <c r="F1342" s="4">
        <v>1</v>
      </c>
      <c r="G1342" s="5">
        <v>16.5</v>
      </c>
      <c r="H1342" s="5">
        <f t="shared" si="20"/>
        <v>16.5</v>
      </c>
    </row>
    <row r="1343" customFormat="1" hidden="1" spans="1:8">
      <c r="A1343" s="2">
        <v>46174</v>
      </c>
      <c r="B1343" s="3">
        <v>1608147</v>
      </c>
      <c r="C1343" s="3" t="s">
        <v>153</v>
      </c>
      <c r="D1343" s="4">
        <v>20318336</v>
      </c>
      <c r="E1343" s="3" t="s">
        <v>303</v>
      </c>
      <c r="F1343" s="4">
        <v>3</v>
      </c>
      <c r="G1343" s="5">
        <v>16.5</v>
      </c>
      <c r="H1343" s="5">
        <f t="shared" si="20"/>
        <v>49.5</v>
      </c>
    </row>
    <row r="1344" customFormat="1" hidden="1" spans="1:8">
      <c r="A1344" s="2">
        <v>46174</v>
      </c>
      <c r="B1344" s="3">
        <v>1608147</v>
      </c>
      <c r="C1344" s="3" t="s">
        <v>153</v>
      </c>
      <c r="D1344" s="4">
        <v>20318342</v>
      </c>
      <c r="E1344" s="3" t="s">
        <v>304</v>
      </c>
      <c r="F1344" s="4">
        <v>2</v>
      </c>
      <c r="G1344" s="5">
        <v>16.5</v>
      </c>
      <c r="H1344" s="5">
        <f t="shared" si="20"/>
        <v>33</v>
      </c>
    </row>
    <row r="1345" customFormat="1" hidden="1" spans="1:8">
      <c r="A1345" s="2">
        <v>46174</v>
      </c>
      <c r="B1345" s="3">
        <v>1608151</v>
      </c>
      <c r="C1345" s="3" t="s">
        <v>150</v>
      </c>
      <c r="D1345" s="4">
        <v>20318372</v>
      </c>
      <c r="E1345" s="3" t="s">
        <v>242</v>
      </c>
      <c r="F1345" s="4">
        <v>1</v>
      </c>
      <c r="G1345" s="5">
        <v>286</v>
      </c>
      <c r="H1345" s="5">
        <f t="shared" si="20"/>
        <v>286</v>
      </c>
    </row>
    <row r="1346" customFormat="1" hidden="1" spans="1:8">
      <c r="A1346" s="2">
        <v>46174</v>
      </c>
      <c r="B1346" s="3">
        <v>1608151</v>
      </c>
      <c r="C1346" s="3" t="s">
        <v>150</v>
      </c>
      <c r="D1346" s="4">
        <v>20312966</v>
      </c>
      <c r="E1346" s="3" t="s">
        <v>258</v>
      </c>
      <c r="F1346" s="4">
        <v>7</v>
      </c>
      <c r="G1346" s="5">
        <v>159.5</v>
      </c>
      <c r="H1346" s="5">
        <f t="shared" ref="H1346:H1409" si="21">G1346*F1346</f>
        <v>1116.5</v>
      </c>
    </row>
    <row r="1347" customFormat="1" hidden="1" spans="1:8">
      <c r="A1347" s="2">
        <v>46174</v>
      </c>
      <c r="B1347" s="3">
        <v>1608151</v>
      </c>
      <c r="C1347" s="3" t="s">
        <v>150</v>
      </c>
      <c r="D1347" s="4">
        <v>20327194</v>
      </c>
      <c r="E1347" s="3" t="s">
        <v>265</v>
      </c>
      <c r="F1347" s="4">
        <v>1</v>
      </c>
      <c r="G1347" s="5">
        <v>27.5</v>
      </c>
      <c r="H1347" s="5">
        <f t="shared" si="21"/>
        <v>27.5</v>
      </c>
    </row>
    <row r="1348" customFormat="1" hidden="1" spans="1:8">
      <c r="A1348" s="2">
        <v>46174</v>
      </c>
      <c r="B1348" s="3">
        <v>1608151</v>
      </c>
      <c r="C1348" s="3" t="s">
        <v>150</v>
      </c>
      <c r="D1348" s="4">
        <v>20312965</v>
      </c>
      <c r="E1348" s="3" t="s">
        <v>112</v>
      </c>
      <c r="F1348" s="4">
        <v>1</v>
      </c>
      <c r="G1348" s="5">
        <v>137.5</v>
      </c>
      <c r="H1348" s="5">
        <f t="shared" si="21"/>
        <v>137.5</v>
      </c>
    </row>
    <row r="1349" customFormat="1" hidden="1" spans="1:8">
      <c r="A1349" s="2">
        <v>46174</v>
      </c>
      <c r="B1349" s="3">
        <v>1608151</v>
      </c>
      <c r="C1349" s="3" t="s">
        <v>150</v>
      </c>
      <c r="D1349" s="4">
        <v>20312967</v>
      </c>
      <c r="E1349" s="3" t="s">
        <v>289</v>
      </c>
      <c r="F1349" s="4">
        <v>4</v>
      </c>
      <c r="G1349" s="5">
        <v>176</v>
      </c>
      <c r="H1349" s="5">
        <f t="shared" si="21"/>
        <v>704</v>
      </c>
    </row>
    <row r="1350" customFormat="1" hidden="1" spans="1:8">
      <c r="A1350" s="2">
        <v>46174</v>
      </c>
      <c r="B1350" s="3">
        <v>1608151</v>
      </c>
      <c r="C1350" s="3" t="s">
        <v>150</v>
      </c>
      <c r="D1350" s="4">
        <v>20424417</v>
      </c>
      <c r="E1350" s="3" t="s">
        <v>312</v>
      </c>
      <c r="F1350" s="4">
        <v>1</v>
      </c>
      <c r="G1350" s="5">
        <v>66</v>
      </c>
      <c r="H1350" s="5">
        <f t="shared" si="21"/>
        <v>66</v>
      </c>
    </row>
    <row r="1351" customFormat="1" ht="25.5" hidden="1" spans="1:8">
      <c r="A1351" s="2">
        <v>46174</v>
      </c>
      <c r="B1351" s="3">
        <v>1608151</v>
      </c>
      <c r="C1351" s="3" t="s">
        <v>154</v>
      </c>
      <c r="D1351" s="4">
        <v>20327254</v>
      </c>
      <c r="E1351" s="3" t="s">
        <v>170</v>
      </c>
      <c r="F1351" s="4">
        <v>1</v>
      </c>
      <c r="G1351" s="5">
        <v>49.5</v>
      </c>
      <c r="H1351" s="5">
        <f t="shared" si="21"/>
        <v>49.5</v>
      </c>
    </row>
    <row r="1352" customFormat="1" hidden="1" spans="1:8">
      <c r="A1352" s="2">
        <v>46174</v>
      </c>
      <c r="B1352" s="3">
        <v>1608151</v>
      </c>
      <c r="C1352" s="3" t="s">
        <v>154</v>
      </c>
      <c r="D1352" s="4">
        <v>20414890</v>
      </c>
      <c r="E1352" s="3" t="s">
        <v>209</v>
      </c>
      <c r="F1352" s="4">
        <v>3</v>
      </c>
      <c r="G1352" s="5">
        <v>49.5</v>
      </c>
      <c r="H1352" s="5">
        <f t="shared" si="21"/>
        <v>148.5</v>
      </c>
    </row>
    <row r="1353" customFormat="1" hidden="1" spans="1:8">
      <c r="A1353" s="2">
        <v>46174</v>
      </c>
      <c r="B1353" s="3">
        <v>1608151</v>
      </c>
      <c r="C1353" s="3" t="s">
        <v>154</v>
      </c>
      <c r="D1353" s="4">
        <v>20414937</v>
      </c>
      <c r="E1353" s="3" t="s">
        <v>210</v>
      </c>
      <c r="F1353" s="4">
        <v>1</v>
      </c>
      <c r="G1353" s="5">
        <v>55</v>
      </c>
      <c r="H1353" s="5">
        <f t="shared" si="21"/>
        <v>55</v>
      </c>
    </row>
    <row r="1354" customFormat="1" hidden="1" spans="1:8">
      <c r="A1354" s="2">
        <v>46174</v>
      </c>
      <c r="B1354" s="3">
        <v>1608151</v>
      </c>
      <c r="C1354" s="3" t="s">
        <v>152</v>
      </c>
      <c r="D1354" s="4">
        <v>20366065</v>
      </c>
      <c r="E1354" s="3" t="s">
        <v>196</v>
      </c>
      <c r="F1354" s="4">
        <v>1</v>
      </c>
      <c r="G1354" s="5">
        <v>71.5</v>
      </c>
      <c r="H1354" s="5">
        <f t="shared" si="21"/>
        <v>71.5</v>
      </c>
    </row>
    <row r="1355" customFormat="1" hidden="1" spans="1:8">
      <c r="A1355" s="2">
        <v>46174</v>
      </c>
      <c r="B1355" s="3">
        <v>1608151</v>
      </c>
      <c r="C1355" s="3" t="s">
        <v>153</v>
      </c>
      <c r="D1355" s="4">
        <v>20321257</v>
      </c>
      <c r="E1355" s="3" t="s">
        <v>68</v>
      </c>
      <c r="F1355" s="4">
        <v>3</v>
      </c>
      <c r="G1355" s="5">
        <v>16.5</v>
      </c>
      <c r="H1355" s="5">
        <f t="shared" si="21"/>
        <v>49.5</v>
      </c>
    </row>
    <row r="1356" customFormat="1" hidden="1" spans="1:8">
      <c r="A1356" s="2">
        <v>46174</v>
      </c>
      <c r="B1356" s="3">
        <v>1608151</v>
      </c>
      <c r="C1356" s="3" t="s">
        <v>153</v>
      </c>
      <c r="D1356" s="4">
        <v>20318334</v>
      </c>
      <c r="E1356" s="3" t="s">
        <v>186</v>
      </c>
      <c r="F1356" s="4">
        <v>1</v>
      </c>
      <c r="G1356" s="5">
        <v>16.5</v>
      </c>
      <c r="H1356" s="5">
        <f t="shared" si="21"/>
        <v>16.5</v>
      </c>
    </row>
    <row r="1357" customFormat="1" hidden="1" spans="1:8">
      <c r="A1357" s="2">
        <v>46174</v>
      </c>
      <c r="B1357" s="3">
        <v>1608151</v>
      </c>
      <c r="C1357" s="3" t="s">
        <v>153</v>
      </c>
      <c r="D1357" s="4">
        <v>20318378</v>
      </c>
      <c r="E1357" s="3" t="s">
        <v>231</v>
      </c>
      <c r="F1357" s="4">
        <v>1</v>
      </c>
      <c r="G1357" s="5">
        <v>16.5</v>
      </c>
      <c r="H1357" s="5">
        <f t="shared" si="21"/>
        <v>16.5</v>
      </c>
    </row>
    <row r="1358" customFormat="1" hidden="1" spans="1:8">
      <c r="A1358" s="2">
        <v>46174</v>
      </c>
      <c r="B1358" s="3">
        <v>1608151</v>
      </c>
      <c r="C1358" s="3" t="s">
        <v>153</v>
      </c>
      <c r="D1358" s="4">
        <v>20318340</v>
      </c>
      <c r="E1358" s="3" t="s">
        <v>240</v>
      </c>
      <c r="F1358" s="4">
        <v>1</v>
      </c>
      <c r="G1358" s="5">
        <v>16.5</v>
      </c>
      <c r="H1358" s="5">
        <f t="shared" si="21"/>
        <v>16.5</v>
      </c>
    </row>
    <row r="1359" customFormat="1" hidden="1" spans="1:8">
      <c r="A1359" s="2">
        <v>46174</v>
      </c>
      <c r="B1359" s="3">
        <v>1608151</v>
      </c>
      <c r="C1359" s="3" t="s">
        <v>153</v>
      </c>
      <c r="D1359" s="4">
        <v>20318379</v>
      </c>
      <c r="E1359" s="3" t="s">
        <v>127</v>
      </c>
      <c r="F1359" s="4">
        <v>1</v>
      </c>
      <c r="G1359" s="5">
        <v>16.5</v>
      </c>
      <c r="H1359" s="5">
        <f t="shared" si="21"/>
        <v>16.5</v>
      </c>
    </row>
    <row r="1360" customFormat="1" hidden="1" spans="1:8">
      <c r="A1360" s="6">
        <v>46175</v>
      </c>
      <c r="B1360" s="7">
        <v>1608407</v>
      </c>
      <c r="C1360" s="7" t="s">
        <v>316</v>
      </c>
      <c r="D1360" s="8">
        <v>20362164</v>
      </c>
      <c r="E1360" s="7" t="s">
        <v>201</v>
      </c>
      <c r="F1360" s="8">
        <v>1</v>
      </c>
      <c r="G1360" s="9">
        <v>25</v>
      </c>
      <c r="H1360" s="9">
        <f t="shared" si="21"/>
        <v>25</v>
      </c>
    </row>
    <row r="1361" customFormat="1" hidden="1" spans="1:8">
      <c r="A1361" s="6">
        <v>46175</v>
      </c>
      <c r="B1361" s="7">
        <v>1608407</v>
      </c>
      <c r="C1361" s="7" t="s">
        <v>316</v>
      </c>
      <c r="D1361" s="8">
        <v>20371830</v>
      </c>
      <c r="E1361" s="7" t="s">
        <v>202</v>
      </c>
      <c r="F1361" s="8">
        <v>1</v>
      </c>
      <c r="G1361" s="9">
        <v>25</v>
      </c>
      <c r="H1361" s="9">
        <f t="shared" si="21"/>
        <v>25</v>
      </c>
    </row>
    <row r="1362" customFormat="1" hidden="1" spans="1:8">
      <c r="A1362" s="6">
        <v>46175</v>
      </c>
      <c r="B1362" s="7">
        <v>1608407</v>
      </c>
      <c r="C1362" s="7" t="s">
        <v>319</v>
      </c>
      <c r="D1362" s="8">
        <v>20398633</v>
      </c>
      <c r="E1362" s="7" t="s">
        <v>214</v>
      </c>
      <c r="F1362" s="8">
        <v>1</v>
      </c>
      <c r="G1362" s="9">
        <f>88+22+22</f>
        <v>132</v>
      </c>
      <c r="H1362" s="9">
        <f t="shared" si="21"/>
        <v>132</v>
      </c>
    </row>
    <row r="1363" customFormat="1" hidden="1" spans="1:8">
      <c r="A1363" s="2">
        <v>46175</v>
      </c>
      <c r="B1363" s="3">
        <v>1608411</v>
      </c>
      <c r="C1363" s="3" t="s">
        <v>150</v>
      </c>
      <c r="D1363" s="4">
        <v>20321719</v>
      </c>
      <c r="E1363" s="3" t="s">
        <v>163</v>
      </c>
      <c r="F1363" s="4">
        <v>1</v>
      </c>
      <c r="G1363" s="5">
        <v>49.5</v>
      </c>
      <c r="H1363" s="5">
        <f t="shared" si="21"/>
        <v>49.5</v>
      </c>
    </row>
    <row r="1364" customFormat="1" hidden="1" spans="1:8">
      <c r="A1364" s="2">
        <v>46175</v>
      </c>
      <c r="B1364" s="3">
        <v>1608411</v>
      </c>
      <c r="C1364" s="3" t="s">
        <v>150</v>
      </c>
      <c r="D1364" s="4">
        <v>20312966</v>
      </c>
      <c r="E1364" s="3" t="s">
        <v>258</v>
      </c>
      <c r="F1364" s="4">
        <v>3</v>
      </c>
      <c r="G1364" s="5">
        <v>159.5</v>
      </c>
      <c r="H1364" s="5">
        <f t="shared" si="21"/>
        <v>478.5</v>
      </c>
    </row>
    <row r="1365" customFormat="1" hidden="1" spans="1:8">
      <c r="A1365" s="2">
        <v>46175</v>
      </c>
      <c r="B1365" s="3">
        <v>1608411</v>
      </c>
      <c r="C1365" s="3" t="s">
        <v>150</v>
      </c>
      <c r="D1365" s="4">
        <v>20312965</v>
      </c>
      <c r="E1365" s="3" t="s">
        <v>112</v>
      </c>
      <c r="F1365" s="4">
        <v>3</v>
      </c>
      <c r="G1365" s="5">
        <v>137.5</v>
      </c>
      <c r="H1365" s="5">
        <f t="shared" si="21"/>
        <v>412.5</v>
      </c>
    </row>
    <row r="1366" customFormat="1" hidden="1" spans="1:8">
      <c r="A1366" s="2">
        <v>46175</v>
      </c>
      <c r="B1366" s="3">
        <v>1608411</v>
      </c>
      <c r="C1366" s="3" t="s">
        <v>150</v>
      </c>
      <c r="D1366" s="4">
        <v>20312967</v>
      </c>
      <c r="E1366" s="3" t="s">
        <v>289</v>
      </c>
      <c r="F1366" s="4">
        <v>2</v>
      </c>
      <c r="G1366" s="5">
        <v>176</v>
      </c>
      <c r="H1366" s="5">
        <f t="shared" si="21"/>
        <v>352</v>
      </c>
    </row>
    <row r="1367" customFormat="1" hidden="1" spans="1:8">
      <c r="A1367" s="2">
        <v>46175</v>
      </c>
      <c r="B1367" s="3">
        <v>1608411</v>
      </c>
      <c r="C1367" s="3" t="s">
        <v>151</v>
      </c>
      <c r="D1367" s="4">
        <v>20420885</v>
      </c>
      <c r="E1367" s="3" t="s">
        <v>246</v>
      </c>
      <c r="F1367" s="4">
        <v>1</v>
      </c>
      <c r="G1367" s="5">
        <v>16.5</v>
      </c>
      <c r="H1367" s="5">
        <f t="shared" si="21"/>
        <v>16.5</v>
      </c>
    </row>
    <row r="1368" customFormat="1" hidden="1" spans="1:8">
      <c r="A1368" s="2">
        <v>46175</v>
      </c>
      <c r="B1368" s="3">
        <v>1608411</v>
      </c>
      <c r="C1368" s="3" t="s">
        <v>151</v>
      </c>
      <c r="D1368" s="4">
        <v>20407037</v>
      </c>
      <c r="E1368" s="3" t="s">
        <v>285</v>
      </c>
      <c r="F1368" s="4">
        <v>1</v>
      </c>
      <c r="G1368" s="5">
        <v>16.5</v>
      </c>
      <c r="H1368" s="5">
        <f t="shared" si="21"/>
        <v>16.5</v>
      </c>
    </row>
    <row r="1369" customFormat="1" hidden="1" spans="1:8">
      <c r="A1369" s="2">
        <v>46175</v>
      </c>
      <c r="B1369" s="3">
        <v>1608411</v>
      </c>
      <c r="C1369" s="3" t="s">
        <v>156</v>
      </c>
      <c r="D1369" s="4">
        <v>20322235</v>
      </c>
      <c r="E1369" s="3" t="s">
        <v>111</v>
      </c>
      <c r="F1369" s="4">
        <v>16</v>
      </c>
      <c r="G1369" s="5">
        <v>2.5</v>
      </c>
      <c r="H1369" s="5">
        <f t="shared" si="21"/>
        <v>40</v>
      </c>
    </row>
    <row r="1370" customFormat="1" hidden="1" spans="1:8">
      <c r="A1370" s="2">
        <v>46175</v>
      </c>
      <c r="B1370" s="3">
        <v>1608411</v>
      </c>
      <c r="C1370" s="3" t="s">
        <v>156</v>
      </c>
      <c r="D1370" s="4">
        <v>20322243</v>
      </c>
      <c r="E1370" s="3" t="s">
        <v>117</v>
      </c>
      <c r="F1370" s="4">
        <v>1</v>
      </c>
      <c r="G1370" s="5">
        <v>30</v>
      </c>
      <c r="H1370" s="5">
        <f t="shared" si="21"/>
        <v>30</v>
      </c>
    </row>
    <row r="1371" customFormat="1" hidden="1" spans="1:8">
      <c r="A1371" s="2">
        <v>46175</v>
      </c>
      <c r="B1371" s="3">
        <v>1608411</v>
      </c>
      <c r="C1371" s="3" t="s">
        <v>156</v>
      </c>
      <c r="D1371" s="4">
        <v>20322234</v>
      </c>
      <c r="E1371" s="3" t="s">
        <v>274</v>
      </c>
      <c r="F1371" s="4">
        <v>1</v>
      </c>
      <c r="G1371" s="5">
        <v>2.5</v>
      </c>
      <c r="H1371" s="5">
        <f t="shared" si="21"/>
        <v>2.5</v>
      </c>
    </row>
    <row r="1372" customFormat="1" hidden="1" spans="1:8">
      <c r="A1372" s="2">
        <v>46175</v>
      </c>
      <c r="B1372" s="3">
        <v>1608411</v>
      </c>
      <c r="C1372" s="3" t="s">
        <v>156</v>
      </c>
      <c r="D1372" s="4">
        <v>20330757</v>
      </c>
      <c r="E1372" s="3" t="s">
        <v>288</v>
      </c>
      <c r="F1372" s="4">
        <v>4</v>
      </c>
      <c r="G1372" s="5">
        <v>35</v>
      </c>
      <c r="H1372" s="5">
        <f t="shared" si="21"/>
        <v>140</v>
      </c>
    </row>
    <row r="1373" customFormat="1" hidden="1" spans="1:8">
      <c r="A1373" s="2">
        <v>46175</v>
      </c>
      <c r="B1373" s="3">
        <v>1608411</v>
      </c>
      <c r="C1373" s="3" t="s">
        <v>152</v>
      </c>
      <c r="D1373" s="4">
        <v>20340286</v>
      </c>
      <c r="E1373" s="3" t="s">
        <v>169</v>
      </c>
      <c r="F1373" s="4">
        <v>1</v>
      </c>
      <c r="G1373" s="5">
        <v>55</v>
      </c>
      <c r="H1373" s="5">
        <f t="shared" si="21"/>
        <v>55</v>
      </c>
    </row>
    <row r="1374" customFormat="1" hidden="1" spans="1:8">
      <c r="A1374" s="2">
        <v>46175</v>
      </c>
      <c r="B1374" s="3">
        <v>1608411</v>
      </c>
      <c r="C1374" s="3" t="s">
        <v>153</v>
      </c>
      <c r="D1374" s="4">
        <v>20321257</v>
      </c>
      <c r="E1374" s="3" t="s">
        <v>68</v>
      </c>
      <c r="F1374" s="4">
        <v>9</v>
      </c>
      <c r="G1374" s="5">
        <v>16.5</v>
      </c>
      <c r="H1374" s="5">
        <f t="shared" si="21"/>
        <v>148.5</v>
      </c>
    </row>
    <row r="1375" customFormat="1" hidden="1" spans="1:8">
      <c r="A1375" s="2">
        <v>46175</v>
      </c>
      <c r="B1375" s="3">
        <v>1608411</v>
      </c>
      <c r="C1375" s="3" t="s">
        <v>153</v>
      </c>
      <c r="D1375" s="4">
        <v>20318334</v>
      </c>
      <c r="E1375" s="3" t="s">
        <v>186</v>
      </c>
      <c r="F1375" s="4">
        <v>1</v>
      </c>
      <c r="G1375" s="5">
        <v>16.5</v>
      </c>
      <c r="H1375" s="5">
        <f t="shared" si="21"/>
        <v>16.5</v>
      </c>
    </row>
    <row r="1376" customFormat="1" hidden="1" spans="1:8">
      <c r="A1376" s="2">
        <v>46175</v>
      </c>
      <c r="B1376" s="3">
        <v>1608411</v>
      </c>
      <c r="C1376" s="3" t="s">
        <v>153</v>
      </c>
      <c r="D1376" s="4">
        <v>20363041</v>
      </c>
      <c r="E1376" s="3" t="s">
        <v>187</v>
      </c>
      <c r="F1376" s="4">
        <v>1</v>
      </c>
      <c r="G1376" s="5">
        <v>16.5</v>
      </c>
      <c r="H1376" s="5">
        <f t="shared" si="21"/>
        <v>16.5</v>
      </c>
    </row>
    <row r="1377" customFormat="1" hidden="1" spans="1:8">
      <c r="A1377" s="2">
        <v>46175</v>
      </c>
      <c r="B1377" s="3">
        <v>1608411</v>
      </c>
      <c r="C1377" s="3" t="s">
        <v>153</v>
      </c>
      <c r="D1377" s="4">
        <v>20318378</v>
      </c>
      <c r="E1377" s="3" t="s">
        <v>231</v>
      </c>
      <c r="F1377" s="4">
        <v>1</v>
      </c>
      <c r="G1377" s="5">
        <v>16.5</v>
      </c>
      <c r="H1377" s="5">
        <f t="shared" si="21"/>
        <v>16.5</v>
      </c>
    </row>
    <row r="1378" customFormat="1" hidden="1" spans="1:8">
      <c r="A1378" s="2">
        <v>46175</v>
      </c>
      <c r="B1378" s="3">
        <v>1608411</v>
      </c>
      <c r="C1378" s="3" t="s">
        <v>153</v>
      </c>
      <c r="D1378" s="4">
        <v>20318380</v>
      </c>
      <c r="E1378" s="3" t="s">
        <v>232</v>
      </c>
      <c r="F1378" s="4">
        <v>1</v>
      </c>
      <c r="G1378" s="5">
        <v>16.5</v>
      </c>
      <c r="H1378" s="5">
        <f t="shared" si="21"/>
        <v>16.5</v>
      </c>
    </row>
    <row r="1379" customFormat="1" hidden="1" spans="1:8">
      <c r="A1379" s="2">
        <v>46175</v>
      </c>
      <c r="B1379" s="3">
        <v>1608411</v>
      </c>
      <c r="C1379" s="3" t="s">
        <v>153</v>
      </c>
      <c r="D1379" s="4">
        <v>20318340</v>
      </c>
      <c r="E1379" s="3" t="s">
        <v>240</v>
      </c>
      <c r="F1379" s="4">
        <v>1</v>
      </c>
      <c r="G1379" s="5">
        <v>16.5</v>
      </c>
      <c r="H1379" s="5">
        <f t="shared" si="21"/>
        <v>16.5</v>
      </c>
    </row>
    <row r="1380" customFormat="1" hidden="1" spans="1:8">
      <c r="A1380" s="2">
        <v>46175</v>
      </c>
      <c r="B1380" s="3">
        <v>1608411</v>
      </c>
      <c r="C1380" s="3" t="s">
        <v>153</v>
      </c>
      <c r="D1380" s="4">
        <v>20383164</v>
      </c>
      <c r="E1380" s="3" t="s">
        <v>273</v>
      </c>
      <c r="F1380" s="4">
        <v>1</v>
      </c>
      <c r="G1380" s="5">
        <v>22</v>
      </c>
      <c r="H1380" s="5">
        <f t="shared" si="21"/>
        <v>22</v>
      </c>
    </row>
    <row r="1381" customFormat="1" hidden="1" spans="1:8">
      <c r="A1381" s="2">
        <v>46175</v>
      </c>
      <c r="B1381" s="3">
        <v>1608411</v>
      </c>
      <c r="C1381" s="3" t="s">
        <v>153</v>
      </c>
      <c r="D1381" s="4">
        <v>20318336</v>
      </c>
      <c r="E1381" s="3" t="s">
        <v>303</v>
      </c>
      <c r="F1381" s="4">
        <v>3</v>
      </c>
      <c r="G1381" s="5">
        <v>16.5</v>
      </c>
      <c r="H1381" s="5">
        <f t="shared" si="21"/>
        <v>49.5</v>
      </c>
    </row>
    <row r="1382" customFormat="1" hidden="1" spans="1:8">
      <c r="A1382" s="2">
        <v>46175</v>
      </c>
      <c r="B1382" s="3">
        <v>1608411</v>
      </c>
      <c r="C1382" s="3" t="s">
        <v>153</v>
      </c>
      <c r="D1382" s="4">
        <v>20318342</v>
      </c>
      <c r="E1382" s="3" t="s">
        <v>304</v>
      </c>
      <c r="F1382" s="4">
        <v>1</v>
      </c>
      <c r="G1382" s="5">
        <v>16.5</v>
      </c>
      <c r="H1382" s="5">
        <f t="shared" si="21"/>
        <v>16.5</v>
      </c>
    </row>
    <row r="1383" customFormat="1" hidden="1" spans="1:8">
      <c r="A1383" s="2">
        <v>46175</v>
      </c>
      <c r="B1383" s="3">
        <v>1608443</v>
      </c>
      <c r="C1383" s="3" t="s">
        <v>150</v>
      </c>
      <c r="D1383" s="4">
        <v>20312967</v>
      </c>
      <c r="E1383" s="3" t="s">
        <v>289</v>
      </c>
      <c r="F1383" s="4">
        <v>4</v>
      </c>
      <c r="G1383" s="5">
        <v>176</v>
      </c>
      <c r="H1383" s="5">
        <f t="shared" si="21"/>
        <v>704</v>
      </c>
    </row>
    <row r="1384" customFormat="1" spans="1:8">
      <c r="A1384" s="2">
        <v>46175</v>
      </c>
      <c r="B1384" s="3">
        <v>1608443</v>
      </c>
      <c r="C1384" s="3" t="s">
        <v>150</v>
      </c>
      <c r="D1384" s="4">
        <v>20414050</v>
      </c>
      <c r="E1384" s="3" t="s">
        <v>298</v>
      </c>
      <c r="F1384" s="4">
        <v>1</v>
      </c>
      <c r="G1384" s="5">
        <v>121</v>
      </c>
      <c r="H1384" s="5">
        <f t="shared" si="21"/>
        <v>121</v>
      </c>
    </row>
    <row r="1385" customFormat="1" hidden="1" spans="1:8">
      <c r="A1385" s="2">
        <v>46175</v>
      </c>
      <c r="B1385" s="3">
        <v>1608443</v>
      </c>
      <c r="C1385" s="3" t="s">
        <v>151</v>
      </c>
      <c r="D1385" s="4">
        <v>20318363</v>
      </c>
      <c r="E1385" s="3" t="s">
        <v>94</v>
      </c>
      <c r="F1385" s="4">
        <v>1</v>
      </c>
      <c r="G1385" s="5">
        <v>8</v>
      </c>
      <c r="H1385" s="5">
        <f t="shared" si="21"/>
        <v>8</v>
      </c>
    </row>
    <row r="1386" customFormat="1" hidden="1" spans="1:8">
      <c r="A1386" s="2">
        <v>46175</v>
      </c>
      <c r="B1386" s="3">
        <v>1608443</v>
      </c>
      <c r="C1386" s="3" t="s">
        <v>152</v>
      </c>
      <c r="D1386" s="4">
        <v>20400908</v>
      </c>
      <c r="E1386" s="3" t="s">
        <v>215</v>
      </c>
      <c r="F1386" s="4">
        <v>1</v>
      </c>
      <c r="G1386" s="5">
        <v>132</v>
      </c>
      <c r="H1386" s="5">
        <f t="shared" si="21"/>
        <v>132</v>
      </c>
    </row>
    <row r="1387" customFormat="1" hidden="1" spans="1:8">
      <c r="A1387" s="2">
        <v>46175</v>
      </c>
      <c r="B1387" s="3">
        <v>1608443</v>
      </c>
      <c r="C1387" s="3" t="s">
        <v>153</v>
      </c>
      <c r="D1387" s="4">
        <v>20321604</v>
      </c>
      <c r="E1387" s="3" t="s">
        <v>233</v>
      </c>
      <c r="F1387" s="4">
        <v>1</v>
      </c>
      <c r="G1387" s="5">
        <v>16.5</v>
      </c>
      <c r="H1387" s="5">
        <f t="shared" si="21"/>
        <v>16.5</v>
      </c>
    </row>
    <row r="1388" customFormat="1" hidden="1" spans="1:8">
      <c r="A1388" s="2">
        <v>46175</v>
      </c>
      <c r="B1388" s="3">
        <v>1608443</v>
      </c>
      <c r="C1388" s="3" t="s">
        <v>153</v>
      </c>
      <c r="D1388" s="4">
        <v>20321250</v>
      </c>
      <c r="E1388" s="3" t="s">
        <v>259</v>
      </c>
      <c r="F1388" s="4">
        <v>2</v>
      </c>
      <c r="G1388" s="5">
        <v>16.5</v>
      </c>
      <c r="H1388" s="5">
        <f t="shared" si="21"/>
        <v>33</v>
      </c>
    </row>
    <row r="1389" customFormat="1" hidden="1" spans="1:8">
      <c r="A1389" s="2">
        <v>46175</v>
      </c>
      <c r="B1389" s="3">
        <v>1608443</v>
      </c>
      <c r="C1389" s="3" t="s">
        <v>153</v>
      </c>
      <c r="D1389" s="4">
        <v>20318336</v>
      </c>
      <c r="E1389" s="3" t="s">
        <v>303</v>
      </c>
      <c r="F1389" s="4">
        <v>1</v>
      </c>
      <c r="G1389" s="5">
        <v>16.5</v>
      </c>
      <c r="H1389" s="5">
        <f t="shared" si="21"/>
        <v>16.5</v>
      </c>
    </row>
    <row r="1390" customFormat="1" hidden="1" spans="1:8">
      <c r="A1390" s="2">
        <v>46175</v>
      </c>
      <c r="B1390" s="3">
        <v>1608443</v>
      </c>
      <c r="C1390" s="3" t="s">
        <v>153</v>
      </c>
      <c r="D1390" s="4">
        <v>20318367</v>
      </c>
      <c r="E1390" s="3" t="s">
        <v>314</v>
      </c>
      <c r="F1390" s="4">
        <v>1</v>
      </c>
      <c r="G1390" s="5">
        <v>16.5</v>
      </c>
      <c r="H1390" s="5">
        <f t="shared" si="21"/>
        <v>16.5</v>
      </c>
    </row>
    <row r="1391" customFormat="1" hidden="1" spans="1:8">
      <c r="A1391" s="2">
        <v>46175</v>
      </c>
      <c r="B1391" s="3">
        <v>1608506</v>
      </c>
      <c r="C1391" s="3" t="s">
        <v>150</v>
      </c>
      <c r="D1391" s="4">
        <v>20428055</v>
      </c>
      <c r="E1391" s="3" t="s">
        <v>157</v>
      </c>
      <c r="F1391" s="4">
        <v>1</v>
      </c>
      <c r="G1391" s="5">
        <v>126.5</v>
      </c>
      <c r="H1391" s="5">
        <f t="shared" si="21"/>
        <v>126.5</v>
      </c>
    </row>
    <row r="1392" customFormat="1" hidden="1" spans="1:8">
      <c r="A1392" s="2">
        <v>46175</v>
      </c>
      <c r="B1392" s="3">
        <v>1608506</v>
      </c>
      <c r="C1392" s="3" t="s">
        <v>150</v>
      </c>
      <c r="D1392" s="4">
        <v>20428056</v>
      </c>
      <c r="E1392" s="3" t="s">
        <v>158</v>
      </c>
      <c r="F1392" s="4">
        <v>1</v>
      </c>
      <c r="G1392" s="5">
        <v>126.5</v>
      </c>
      <c r="H1392" s="5">
        <f t="shared" si="21"/>
        <v>126.5</v>
      </c>
    </row>
    <row r="1393" customFormat="1" hidden="1" spans="1:8">
      <c r="A1393" s="2">
        <v>46175</v>
      </c>
      <c r="B1393" s="3">
        <v>1608506</v>
      </c>
      <c r="C1393" s="3" t="s">
        <v>150</v>
      </c>
      <c r="D1393" s="4">
        <v>20321252</v>
      </c>
      <c r="E1393" s="3" t="s">
        <v>162</v>
      </c>
      <c r="F1393" s="4">
        <v>1</v>
      </c>
      <c r="G1393" s="5">
        <v>49.5</v>
      </c>
      <c r="H1393" s="5">
        <f t="shared" si="21"/>
        <v>49.5</v>
      </c>
    </row>
    <row r="1394" customFormat="1" hidden="1" spans="1:8">
      <c r="A1394" s="2">
        <v>46175</v>
      </c>
      <c r="B1394" s="3">
        <v>1608506</v>
      </c>
      <c r="C1394" s="3" t="s">
        <v>150</v>
      </c>
      <c r="D1394" s="4">
        <v>20312966</v>
      </c>
      <c r="E1394" s="3" t="s">
        <v>258</v>
      </c>
      <c r="F1394" s="4">
        <v>3</v>
      </c>
      <c r="G1394" s="5">
        <v>159.5</v>
      </c>
      <c r="H1394" s="5">
        <f t="shared" si="21"/>
        <v>478.5</v>
      </c>
    </row>
    <row r="1395" customFormat="1" hidden="1" spans="1:8">
      <c r="A1395" s="10">
        <v>46175</v>
      </c>
      <c r="B1395" s="11">
        <v>1608506</v>
      </c>
      <c r="C1395" s="11" t="s">
        <v>150</v>
      </c>
      <c r="D1395" s="12">
        <v>20334934</v>
      </c>
      <c r="E1395" s="11" t="s">
        <v>262</v>
      </c>
      <c r="F1395" s="12">
        <v>1</v>
      </c>
      <c r="G1395" s="13">
        <v>121</v>
      </c>
      <c r="H1395" s="13">
        <f t="shared" si="21"/>
        <v>121</v>
      </c>
    </row>
    <row r="1396" customFormat="1" hidden="1" spans="1:8">
      <c r="A1396" s="2">
        <v>46175</v>
      </c>
      <c r="B1396" s="3">
        <v>1608506</v>
      </c>
      <c r="C1396" s="3" t="s">
        <v>150</v>
      </c>
      <c r="D1396" s="4">
        <v>20312965</v>
      </c>
      <c r="E1396" s="3" t="s">
        <v>112</v>
      </c>
      <c r="F1396" s="4">
        <v>2</v>
      </c>
      <c r="G1396" s="5">
        <v>137.5</v>
      </c>
      <c r="H1396" s="5">
        <f t="shared" si="21"/>
        <v>275</v>
      </c>
    </row>
    <row r="1397" customFormat="1" hidden="1" spans="1:8">
      <c r="A1397" s="2">
        <v>46175</v>
      </c>
      <c r="B1397" s="3">
        <v>1608506</v>
      </c>
      <c r="C1397" s="3" t="s">
        <v>150</v>
      </c>
      <c r="D1397" s="4">
        <v>20312968</v>
      </c>
      <c r="E1397" s="3" t="s">
        <v>276</v>
      </c>
      <c r="F1397" s="4">
        <v>1</v>
      </c>
      <c r="G1397" s="5">
        <v>187</v>
      </c>
      <c r="H1397" s="5">
        <f t="shared" si="21"/>
        <v>187</v>
      </c>
    </row>
    <row r="1398" customFormat="1" hidden="1" spans="1:8">
      <c r="A1398" s="2">
        <v>46175</v>
      </c>
      <c r="B1398" s="3">
        <v>1608506</v>
      </c>
      <c r="C1398" s="3" t="s">
        <v>150</v>
      </c>
      <c r="D1398" s="4">
        <v>20312967</v>
      </c>
      <c r="E1398" s="3" t="s">
        <v>289</v>
      </c>
      <c r="F1398" s="4">
        <v>2</v>
      </c>
      <c r="G1398" s="5">
        <v>176</v>
      </c>
      <c r="H1398" s="5">
        <f t="shared" si="21"/>
        <v>352</v>
      </c>
    </row>
    <row r="1399" customFormat="1" hidden="1" spans="1:8">
      <c r="A1399" s="2">
        <v>46175</v>
      </c>
      <c r="B1399" s="3">
        <v>1608506</v>
      </c>
      <c r="C1399" s="3" t="s">
        <v>151</v>
      </c>
      <c r="D1399" s="4">
        <v>20410296</v>
      </c>
      <c r="E1399" s="3" t="s">
        <v>188</v>
      </c>
      <c r="F1399" s="4">
        <v>1</v>
      </c>
      <c r="G1399" s="5">
        <v>16.5</v>
      </c>
      <c r="H1399" s="5">
        <f t="shared" si="21"/>
        <v>16.5</v>
      </c>
    </row>
    <row r="1400" customFormat="1" hidden="1" spans="1:8">
      <c r="A1400" s="2">
        <v>46175</v>
      </c>
      <c r="B1400" s="3">
        <v>1608506</v>
      </c>
      <c r="C1400" s="3" t="s">
        <v>151</v>
      </c>
      <c r="D1400" s="4">
        <v>20411008</v>
      </c>
      <c r="E1400" s="3" t="s">
        <v>198</v>
      </c>
      <c r="F1400" s="4">
        <v>1</v>
      </c>
      <c r="G1400" s="5">
        <v>16.5</v>
      </c>
      <c r="H1400" s="5">
        <f t="shared" si="21"/>
        <v>16.5</v>
      </c>
    </row>
    <row r="1401" customFormat="1" hidden="1" spans="1:8">
      <c r="A1401" s="2">
        <v>46175</v>
      </c>
      <c r="B1401" s="3">
        <v>1608506</v>
      </c>
      <c r="C1401" s="3" t="s">
        <v>151</v>
      </c>
      <c r="D1401" s="4">
        <v>20427031</v>
      </c>
      <c r="E1401" s="3" t="s">
        <v>271</v>
      </c>
      <c r="F1401" s="4">
        <v>1</v>
      </c>
      <c r="G1401" s="5">
        <f>16.5</f>
        <v>16.5</v>
      </c>
      <c r="H1401" s="5">
        <f t="shared" si="21"/>
        <v>16.5</v>
      </c>
    </row>
    <row r="1402" customFormat="1" hidden="1" spans="1:8">
      <c r="A1402" s="2">
        <v>46175</v>
      </c>
      <c r="B1402" s="3">
        <v>1608506</v>
      </c>
      <c r="C1402" s="3" t="s">
        <v>152</v>
      </c>
      <c r="D1402" s="4">
        <v>20366059</v>
      </c>
      <c r="E1402" s="3" t="s">
        <v>194</v>
      </c>
      <c r="F1402" s="4">
        <v>1</v>
      </c>
      <c r="G1402" s="5">
        <v>66</v>
      </c>
      <c r="H1402" s="5">
        <f t="shared" si="21"/>
        <v>66</v>
      </c>
    </row>
    <row r="1403" customFormat="1" hidden="1" spans="1:8">
      <c r="A1403" s="2">
        <v>46175</v>
      </c>
      <c r="B1403" s="3">
        <v>1608506</v>
      </c>
      <c r="C1403" s="3" t="s">
        <v>153</v>
      </c>
      <c r="D1403" s="4">
        <v>20383164</v>
      </c>
      <c r="E1403" s="3" t="s">
        <v>273</v>
      </c>
      <c r="F1403" s="4">
        <v>1</v>
      </c>
      <c r="G1403" s="5">
        <v>22</v>
      </c>
      <c r="H1403" s="5">
        <f t="shared" si="21"/>
        <v>22</v>
      </c>
    </row>
    <row r="1404" customFormat="1" hidden="1" spans="1:8">
      <c r="A1404" s="2">
        <v>46175</v>
      </c>
      <c r="B1404" s="3">
        <v>1608506</v>
      </c>
      <c r="C1404" s="3" t="s">
        <v>153</v>
      </c>
      <c r="D1404" s="4">
        <v>20318336</v>
      </c>
      <c r="E1404" s="3" t="s">
        <v>303</v>
      </c>
      <c r="F1404" s="4">
        <v>1</v>
      </c>
      <c r="G1404" s="5">
        <v>16.5</v>
      </c>
      <c r="H1404" s="5">
        <f t="shared" si="21"/>
        <v>16.5</v>
      </c>
    </row>
    <row r="1405" customFormat="1" hidden="1" spans="1:8">
      <c r="A1405" s="2">
        <v>46175</v>
      </c>
      <c r="B1405" s="3">
        <v>1608526</v>
      </c>
      <c r="C1405" s="3" t="s">
        <v>150</v>
      </c>
      <c r="D1405" s="4">
        <v>20321476</v>
      </c>
      <c r="E1405" s="3" t="s">
        <v>161</v>
      </c>
      <c r="F1405" s="4">
        <v>1</v>
      </c>
      <c r="G1405" s="5">
        <v>55</v>
      </c>
      <c r="H1405" s="5">
        <f t="shared" si="21"/>
        <v>55</v>
      </c>
    </row>
    <row r="1406" customFormat="1" hidden="1" spans="1:8">
      <c r="A1406" s="2">
        <v>46175</v>
      </c>
      <c r="B1406" s="3">
        <v>1608526</v>
      </c>
      <c r="C1406" s="3" t="s">
        <v>156</v>
      </c>
      <c r="D1406" s="4">
        <v>20330757</v>
      </c>
      <c r="E1406" s="3" t="s">
        <v>288</v>
      </c>
      <c r="F1406" s="4">
        <v>1</v>
      </c>
      <c r="G1406" s="5">
        <v>35</v>
      </c>
      <c r="H1406" s="5">
        <f t="shared" si="21"/>
        <v>35</v>
      </c>
    </row>
    <row r="1407" customFormat="1" hidden="1" spans="1:8">
      <c r="A1407" s="2">
        <v>46175</v>
      </c>
      <c r="B1407" s="3">
        <v>1608533</v>
      </c>
      <c r="C1407" s="3" t="s">
        <v>150</v>
      </c>
      <c r="D1407" s="4">
        <v>20331447</v>
      </c>
      <c r="E1407" s="3" t="s">
        <v>243</v>
      </c>
      <c r="F1407" s="4">
        <v>1</v>
      </c>
      <c r="G1407" s="5">
        <v>264</v>
      </c>
      <c r="H1407" s="5">
        <f t="shared" si="21"/>
        <v>264</v>
      </c>
    </row>
    <row r="1408" customFormat="1" hidden="1" spans="1:8">
      <c r="A1408" s="2">
        <v>46175</v>
      </c>
      <c r="B1408" s="3">
        <v>1608533</v>
      </c>
      <c r="C1408" s="3" t="s">
        <v>150</v>
      </c>
      <c r="D1408" s="4">
        <v>20312966</v>
      </c>
      <c r="E1408" s="3" t="s">
        <v>258</v>
      </c>
      <c r="F1408" s="4">
        <v>1</v>
      </c>
      <c r="G1408" s="5">
        <v>159.5</v>
      </c>
      <c r="H1408" s="5">
        <f t="shared" si="21"/>
        <v>159.5</v>
      </c>
    </row>
    <row r="1409" customFormat="1" hidden="1" spans="1:8">
      <c r="A1409" s="2">
        <v>46175</v>
      </c>
      <c r="B1409" s="3">
        <v>1608533</v>
      </c>
      <c r="C1409" s="3" t="s">
        <v>150</v>
      </c>
      <c r="D1409" s="4">
        <v>20312965</v>
      </c>
      <c r="E1409" s="3" t="s">
        <v>112</v>
      </c>
      <c r="F1409" s="4">
        <v>1</v>
      </c>
      <c r="G1409" s="5">
        <v>137.5</v>
      </c>
      <c r="H1409" s="5">
        <f t="shared" si="21"/>
        <v>137.5</v>
      </c>
    </row>
    <row r="1410" customFormat="1" hidden="1" spans="1:8">
      <c r="A1410" s="2">
        <v>46175</v>
      </c>
      <c r="B1410" s="3">
        <v>1608533</v>
      </c>
      <c r="C1410" s="3" t="s">
        <v>150</v>
      </c>
      <c r="D1410" s="4">
        <v>20312967</v>
      </c>
      <c r="E1410" s="3" t="s">
        <v>289</v>
      </c>
      <c r="F1410" s="4">
        <v>1</v>
      </c>
      <c r="G1410" s="5">
        <v>176</v>
      </c>
      <c r="H1410" s="5">
        <f t="shared" ref="H1410:H1473" si="22">G1410*F1410</f>
        <v>176</v>
      </c>
    </row>
    <row r="1411" customFormat="1" hidden="1" spans="1:8">
      <c r="A1411" s="2">
        <v>46175</v>
      </c>
      <c r="B1411" s="3">
        <v>1608533</v>
      </c>
      <c r="C1411" s="3" t="s">
        <v>156</v>
      </c>
      <c r="D1411" s="4">
        <v>20322235</v>
      </c>
      <c r="E1411" s="3" t="s">
        <v>111</v>
      </c>
      <c r="F1411" s="4">
        <v>14</v>
      </c>
      <c r="G1411" s="5">
        <v>2.5</v>
      </c>
      <c r="H1411" s="5">
        <f t="shared" si="22"/>
        <v>35</v>
      </c>
    </row>
    <row r="1412" customFormat="1" hidden="1" spans="1:8">
      <c r="A1412" s="2">
        <v>46175</v>
      </c>
      <c r="B1412" s="3">
        <v>1608533</v>
      </c>
      <c r="C1412" s="3" t="s">
        <v>156</v>
      </c>
      <c r="D1412" s="4">
        <v>20330757</v>
      </c>
      <c r="E1412" s="3" t="s">
        <v>288</v>
      </c>
      <c r="F1412" s="4">
        <v>2</v>
      </c>
      <c r="G1412" s="5">
        <v>35</v>
      </c>
      <c r="H1412" s="5">
        <f t="shared" si="22"/>
        <v>70</v>
      </c>
    </row>
    <row r="1413" customFormat="1" hidden="1" spans="1:8">
      <c r="A1413" s="2">
        <v>46175</v>
      </c>
      <c r="B1413" s="3">
        <v>1608533</v>
      </c>
      <c r="C1413" s="3" t="s">
        <v>156</v>
      </c>
      <c r="D1413" s="4">
        <v>20323697</v>
      </c>
      <c r="E1413" s="3" t="s">
        <v>290</v>
      </c>
      <c r="F1413" s="4">
        <v>1</v>
      </c>
      <c r="G1413" s="5">
        <v>4</v>
      </c>
      <c r="H1413" s="5">
        <f t="shared" si="22"/>
        <v>4</v>
      </c>
    </row>
    <row r="1414" customFormat="1" hidden="1" spans="1:8">
      <c r="A1414" s="2">
        <v>46175</v>
      </c>
      <c r="B1414" s="3">
        <v>1608533</v>
      </c>
      <c r="C1414" s="3" t="s">
        <v>153</v>
      </c>
      <c r="D1414" s="4">
        <v>20318334</v>
      </c>
      <c r="E1414" s="3" t="s">
        <v>186</v>
      </c>
      <c r="F1414" s="4">
        <v>1</v>
      </c>
      <c r="G1414" s="5">
        <v>16.5</v>
      </c>
      <c r="H1414" s="5">
        <f t="shared" si="22"/>
        <v>16.5</v>
      </c>
    </row>
    <row r="1415" customFormat="1" hidden="1" spans="1:8">
      <c r="A1415" s="2">
        <v>46175</v>
      </c>
      <c r="B1415" s="3">
        <v>1608541</v>
      </c>
      <c r="C1415" s="3" t="s">
        <v>150</v>
      </c>
      <c r="D1415" s="4">
        <v>20312966</v>
      </c>
      <c r="E1415" s="3" t="s">
        <v>258</v>
      </c>
      <c r="F1415" s="4">
        <v>4</v>
      </c>
      <c r="G1415" s="5">
        <v>159.5</v>
      </c>
      <c r="H1415" s="5">
        <f t="shared" si="22"/>
        <v>638</v>
      </c>
    </row>
    <row r="1416" customFormat="1" hidden="1" spans="1:8">
      <c r="A1416" s="2">
        <v>46175</v>
      </c>
      <c r="B1416" s="3">
        <v>1608541</v>
      </c>
      <c r="C1416" s="3" t="s">
        <v>150</v>
      </c>
      <c r="D1416" s="4">
        <v>20312965</v>
      </c>
      <c r="E1416" s="3" t="s">
        <v>112</v>
      </c>
      <c r="F1416" s="4">
        <v>4</v>
      </c>
      <c r="G1416" s="5">
        <v>137.5</v>
      </c>
      <c r="H1416" s="5">
        <f t="shared" si="22"/>
        <v>550</v>
      </c>
    </row>
    <row r="1417" customFormat="1" hidden="1" spans="1:8">
      <c r="A1417" s="2">
        <v>46175</v>
      </c>
      <c r="B1417" s="3">
        <v>1608541</v>
      </c>
      <c r="C1417" s="3" t="s">
        <v>150</v>
      </c>
      <c r="D1417" s="4">
        <v>20312967</v>
      </c>
      <c r="E1417" s="3" t="s">
        <v>289</v>
      </c>
      <c r="F1417" s="4">
        <v>2</v>
      </c>
      <c r="G1417" s="5">
        <v>176</v>
      </c>
      <c r="H1417" s="5">
        <f t="shared" si="22"/>
        <v>352</v>
      </c>
    </row>
    <row r="1418" customFormat="1" hidden="1" spans="1:8">
      <c r="A1418" s="2">
        <v>46175</v>
      </c>
      <c r="B1418" s="3">
        <v>1608541</v>
      </c>
      <c r="C1418" s="3" t="s">
        <v>150</v>
      </c>
      <c r="D1418" s="4">
        <v>20424417</v>
      </c>
      <c r="E1418" s="3" t="s">
        <v>312</v>
      </c>
      <c r="F1418" s="4">
        <v>2</v>
      </c>
      <c r="G1418" s="5">
        <v>66</v>
      </c>
      <c r="H1418" s="5">
        <f t="shared" si="22"/>
        <v>132</v>
      </c>
    </row>
    <row r="1419" customFormat="1" hidden="1" spans="1:8">
      <c r="A1419" s="2">
        <v>46175</v>
      </c>
      <c r="B1419" s="3">
        <v>1608541</v>
      </c>
      <c r="C1419" s="3" t="s">
        <v>151</v>
      </c>
      <c r="D1419" s="4">
        <v>20354360</v>
      </c>
      <c r="E1419" s="3" t="s">
        <v>177</v>
      </c>
      <c r="F1419" s="4">
        <v>1</v>
      </c>
      <c r="G1419" s="5">
        <v>13.5</v>
      </c>
      <c r="H1419" s="5">
        <f t="shared" si="22"/>
        <v>13.5</v>
      </c>
    </row>
    <row r="1420" customFormat="1" hidden="1" spans="1:8">
      <c r="A1420" s="2">
        <v>46175</v>
      </c>
      <c r="B1420" s="3">
        <v>1608541</v>
      </c>
      <c r="C1420" s="3" t="s">
        <v>151</v>
      </c>
      <c r="D1420" s="4">
        <v>20318363</v>
      </c>
      <c r="E1420" s="3" t="s">
        <v>94</v>
      </c>
      <c r="F1420" s="4">
        <v>2</v>
      </c>
      <c r="G1420" s="5">
        <v>8</v>
      </c>
      <c r="H1420" s="5">
        <f t="shared" si="22"/>
        <v>16</v>
      </c>
    </row>
    <row r="1421" customFormat="1" hidden="1" spans="1:8">
      <c r="A1421" s="2">
        <v>46175</v>
      </c>
      <c r="B1421" s="3">
        <v>1608541</v>
      </c>
      <c r="C1421" s="3" t="s">
        <v>151</v>
      </c>
      <c r="D1421" s="4">
        <v>20318250</v>
      </c>
      <c r="E1421" s="3" t="s">
        <v>113</v>
      </c>
      <c r="F1421" s="4">
        <v>1</v>
      </c>
      <c r="G1421" s="5">
        <v>8</v>
      </c>
      <c r="H1421" s="5">
        <f t="shared" si="22"/>
        <v>8</v>
      </c>
    </row>
    <row r="1422" customFormat="1" hidden="1" spans="1:8">
      <c r="A1422" s="2">
        <v>46175</v>
      </c>
      <c r="B1422" s="3">
        <v>1608541</v>
      </c>
      <c r="C1422" s="3" t="s">
        <v>151</v>
      </c>
      <c r="D1422" s="4">
        <v>20318395</v>
      </c>
      <c r="E1422" s="3" t="s">
        <v>309</v>
      </c>
      <c r="F1422" s="4">
        <v>1</v>
      </c>
      <c r="G1422" s="5">
        <v>16.5</v>
      </c>
      <c r="H1422" s="5">
        <f t="shared" si="22"/>
        <v>16.5</v>
      </c>
    </row>
    <row r="1423" customFormat="1" hidden="1" spans="1:8">
      <c r="A1423" s="2">
        <v>46175</v>
      </c>
      <c r="B1423" s="3">
        <v>1608541</v>
      </c>
      <c r="C1423" s="3" t="s">
        <v>153</v>
      </c>
      <c r="D1423" s="4">
        <v>20321257</v>
      </c>
      <c r="E1423" s="3" t="s">
        <v>68</v>
      </c>
      <c r="F1423" s="4">
        <v>1</v>
      </c>
      <c r="G1423" s="5">
        <v>16.5</v>
      </c>
      <c r="H1423" s="5">
        <f t="shared" si="22"/>
        <v>16.5</v>
      </c>
    </row>
    <row r="1424" customFormat="1" hidden="1" spans="1:8">
      <c r="A1424" s="2">
        <v>46175</v>
      </c>
      <c r="B1424" s="3">
        <v>1608541</v>
      </c>
      <c r="C1424" s="3" t="s">
        <v>153</v>
      </c>
      <c r="D1424" s="4">
        <v>20318241</v>
      </c>
      <c r="E1424" s="3" t="s">
        <v>83</v>
      </c>
      <c r="F1424" s="4">
        <v>1</v>
      </c>
      <c r="G1424" s="5">
        <v>16.5</v>
      </c>
      <c r="H1424" s="5">
        <f t="shared" si="22"/>
        <v>16.5</v>
      </c>
    </row>
    <row r="1425" customFormat="1" hidden="1" spans="1:8">
      <c r="A1425" s="2">
        <v>46175</v>
      </c>
      <c r="B1425" s="3">
        <v>1608541</v>
      </c>
      <c r="C1425" s="3" t="s">
        <v>153</v>
      </c>
      <c r="D1425" s="4">
        <v>20318380</v>
      </c>
      <c r="E1425" s="3" t="s">
        <v>232</v>
      </c>
      <c r="F1425" s="4">
        <v>1</v>
      </c>
      <c r="G1425" s="5">
        <v>16.5</v>
      </c>
      <c r="H1425" s="5">
        <f t="shared" si="22"/>
        <v>16.5</v>
      </c>
    </row>
    <row r="1426" customFormat="1" hidden="1" spans="1:8">
      <c r="A1426" s="2">
        <v>46175</v>
      </c>
      <c r="B1426" s="3">
        <v>1608541</v>
      </c>
      <c r="C1426" s="3" t="s">
        <v>153</v>
      </c>
      <c r="D1426" s="4">
        <v>20318340</v>
      </c>
      <c r="E1426" s="3" t="s">
        <v>240</v>
      </c>
      <c r="F1426" s="4">
        <v>1</v>
      </c>
      <c r="G1426" s="5">
        <v>16.5</v>
      </c>
      <c r="H1426" s="5">
        <f t="shared" si="22"/>
        <v>16.5</v>
      </c>
    </row>
    <row r="1427" customFormat="1" hidden="1" spans="1:8">
      <c r="A1427" s="2">
        <v>46175</v>
      </c>
      <c r="B1427" s="3">
        <v>1608541</v>
      </c>
      <c r="C1427" s="3" t="s">
        <v>153</v>
      </c>
      <c r="D1427" s="4">
        <v>20321250</v>
      </c>
      <c r="E1427" s="3" t="s">
        <v>259</v>
      </c>
      <c r="F1427" s="4">
        <v>2</v>
      </c>
      <c r="G1427" s="5">
        <v>16.5</v>
      </c>
      <c r="H1427" s="5">
        <f t="shared" si="22"/>
        <v>33</v>
      </c>
    </row>
    <row r="1428" customFormat="1" hidden="1" spans="1:8">
      <c r="A1428" s="2">
        <v>46175</v>
      </c>
      <c r="B1428" s="3">
        <v>1608541</v>
      </c>
      <c r="C1428" s="3" t="s">
        <v>153</v>
      </c>
      <c r="D1428" s="4">
        <v>20340289</v>
      </c>
      <c r="E1428" s="3" t="s">
        <v>272</v>
      </c>
      <c r="F1428" s="4">
        <v>2</v>
      </c>
      <c r="G1428" s="5">
        <v>16.5</v>
      </c>
      <c r="H1428" s="5">
        <f t="shared" si="22"/>
        <v>33</v>
      </c>
    </row>
    <row r="1429" customFormat="1" hidden="1" spans="1:8">
      <c r="A1429" s="2">
        <v>46175</v>
      </c>
      <c r="B1429" s="3">
        <v>1608541</v>
      </c>
      <c r="C1429" s="3" t="s">
        <v>153</v>
      </c>
      <c r="D1429" s="4">
        <v>20383164</v>
      </c>
      <c r="E1429" s="3" t="s">
        <v>273</v>
      </c>
      <c r="F1429" s="4">
        <v>2</v>
      </c>
      <c r="G1429" s="5">
        <v>22</v>
      </c>
      <c r="H1429" s="5">
        <f t="shared" si="22"/>
        <v>44</v>
      </c>
    </row>
    <row r="1430" customFormat="1" hidden="1" spans="1:8">
      <c r="A1430" s="2">
        <v>46175</v>
      </c>
      <c r="B1430" s="3">
        <v>1608541</v>
      </c>
      <c r="C1430" s="3" t="s">
        <v>153</v>
      </c>
      <c r="D1430" s="4">
        <v>20318336</v>
      </c>
      <c r="E1430" s="3" t="s">
        <v>303</v>
      </c>
      <c r="F1430" s="4">
        <v>2</v>
      </c>
      <c r="G1430" s="5">
        <v>16.5</v>
      </c>
      <c r="H1430" s="5">
        <f t="shared" si="22"/>
        <v>33</v>
      </c>
    </row>
    <row r="1431" customFormat="1" hidden="1" spans="1:8">
      <c r="A1431" s="2">
        <v>46175</v>
      </c>
      <c r="B1431" s="3">
        <v>1608541</v>
      </c>
      <c r="C1431" s="3" t="s">
        <v>153</v>
      </c>
      <c r="D1431" s="4">
        <v>20318342</v>
      </c>
      <c r="E1431" s="3" t="s">
        <v>304</v>
      </c>
      <c r="F1431" s="4">
        <v>1</v>
      </c>
      <c r="G1431" s="5">
        <v>16.5</v>
      </c>
      <c r="H1431" s="5">
        <f t="shared" si="22"/>
        <v>16.5</v>
      </c>
    </row>
    <row r="1432" customFormat="1" hidden="1" spans="1:8">
      <c r="A1432" s="2">
        <v>46175</v>
      </c>
      <c r="B1432" s="3">
        <v>1608541</v>
      </c>
      <c r="C1432" s="3" t="s">
        <v>153</v>
      </c>
      <c r="D1432" s="4">
        <v>20318393</v>
      </c>
      <c r="E1432" s="3" t="s">
        <v>140</v>
      </c>
      <c r="F1432" s="4">
        <v>1</v>
      </c>
      <c r="G1432" s="5">
        <v>16.5</v>
      </c>
      <c r="H1432" s="5">
        <f t="shared" si="22"/>
        <v>16.5</v>
      </c>
    </row>
    <row r="1433" customFormat="1" hidden="1" spans="1:8">
      <c r="A1433" s="2">
        <v>46175</v>
      </c>
      <c r="B1433" s="3">
        <v>1608560</v>
      </c>
      <c r="C1433" s="3" t="s">
        <v>150</v>
      </c>
      <c r="D1433" s="4">
        <v>20321719</v>
      </c>
      <c r="E1433" s="3" t="s">
        <v>163</v>
      </c>
      <c r="F1433" s="4">
        <v>1</v>
      </c>
      <c r="G1433" s="5">
        <v>49.5</v>
      </c>
      <c r="H1433" s="5">
        <f t="shared" si="22"/>
        <v>49.5</v>
      </c>
    </row>
    <row r="1434" customFormat="1" hidden="1" spans="1:8">
      <c r="A1434" s="2">
        <v>46175</v>
      </c>
      <c r="B1434" s="3">
        <v>1608560</v>
      </c>
      <c r="C1434" s="3" t="s">
        <v>150</v>
      </c>
      <c r="D1434" s="4">
        <v>20365495</v>
      </c>
      <c r="E1434" s="3" t="s">
        <v>249</v>
      </c>
      <c r="F1434" s="4">
        <v>1</v>
      </c>
      <c r="G1434" s="5">
        <v>154</v>
      </c>
      <c r="H1434" s="5">
        <f t="shared" si="22"/>
        <v>154</v>
      </c>
    </row>
    <row r="1435" customFormat="1" hidden="1" spans="1:8">
      <c r="A1435" s="2">
        <v>46175</v>
      </c>
      <c r="B1435" s="3">
        <v>1608560</v>
      </c>
      <c r="C1435" s="3" t="s">
        <v>150</v>
      </c>
      <c r="D1435" s="4">
        <v>20312966</v>
      </c>
      <c r="E1435" s="3" t="s">
        <v>258</v>
      </c>
      <c r="F1435" s="4">
        <v>5</v>
      </c>
      <c r="G1435" s="5">
        <v>159.5</v>
      </c>
      <c r="H1435" s="5">
        <f t="shared" si="22"/>
        <v>797.5</v>
      </c>
    </row>
    <row r="1436" customFormat="1" hidden="1" spans="1:8">
      <c r="A1436" s="2">
        <v>46175</v>
      </c>
      <c r="B1436" s="3">
        <v>1608560</v>
      </c>
      <c r="C1436" s="3" t="s">
        <v>150</v>
      </c>
      <c r="D1436" s="4">
        <v>20312965</v>
      </c>
      <c r="E1436" s="3" t="s">
        <v>112</v>
      </c>
      <c r="F1436" s="4">
        <v>6</v>
      </c>
      <c r="G1436" s="5">
        <v>137.5</v>
      </c>
      <c r="H1436" s="5">
        <f t="shared" si="22"/>
        <v>825</v>
      </c>
    </row>
    <row r="1437" customFormat="1" hidden="1" spans="1:8">
      <c r="A1437" s="2">
        <v>46175</v>
      </c>
      <c r="B1437" s="3">
        <v>1608560</v>
      </c>
      <c r="C1437" s="3" t="s">
        <v>150</v>
      </c>
      <c r="D1437" s="4">
        <v>20312967</v>
      </c>
      <c r="E1437" s="3" t="s">
        <v>289</v>
      </c>
      <c r="F1437" s="4">
        <v>7</v>
      </c>
      <c r="G1437" s="5">
        <v>176</v>
      </c>
      <c r="H1437" s="5">
        <f t="shared" si="22"/>
        <v>1232</v>
      </c>
    </row>
    <row r="1438" customFormat="1" hidden="1" spans="1:8">
      <c r="A1438" s="2">
        <v>46175</v>
      </c>
      <c r="B1438" s="3">
        <v>1608560</v>
      </c>
      <c r="C1438" s="3" t="s">
        <v>156</v>
      </c>
      <c r="D1438" s="4">
        <v>20330757</v>
      </c>
      <c r="E1438" s="3" t="s">
        <v>288</v>
      </c>
      <c r="F1438" s="4">
        <v>3</v>
      </c>
      <c r="G1438" s="5">
        <v>35</v>
      </c>
      <c r="H1438" s="5">
        <f t="shared" si="22"/>
        <v>105</v>
      </c>
    </row>
    <row r="1439" customFormat="1" hidden="1" spans="1:8">
      <c r="A1439" s="2">
        <v>46175</v>
      </c>
      <c r="B1439" s="3">
        <v>1608560</v>
      </c>
      <c r="C1439" s="3" t="s">
        <v>153</v>
      </c>
      <c r="D1439" s="4">
        <v>20363041</v>
      </c>
      <c r="E1439" s="3" t="s">
        <v>187</v>
      </c>
      <c r="F1439" s="4">
        <v>1</v>
      </c>
      <c r="G1439" s="5">
        <v>16.5</v>
      </c>
      <c r="H1439" s="5">
        <f t="shared" si="22"/>
        <v>16.5</v>
      </c>
    </row>
    <row r="1440" customFormat="1" hidden="1" spans="1:8">
      <c r="A1440" s="2">
        <v>46175</v>
      </c>
      <c r="B1440" s="3">
        <v>1608560</v>
      </c>
      <c r="C1440" s="3" t="s">
        <v>153</v>
      </c>
      <c r="D1440" s="4">
        <v>20318380</v>
      </c>
      <c r="E1440" s="3" t="s">
        <v>232</v>
      </c>
      <c r="F1440" s="4">
        <v>1</v>
      </c>
      <c r="G1440" s="5">
        <v>16.5</v>
      </c>
      <c r="H1440" s="5">
        <f t="shared" si="22"/>
        <v>16.5</v>
      </c>
    </row>
    <row r="1441" customFormat="1" hidden="1" spans="1:8">
      <c r="A1441" s="2">
        <v>46175</v>
      </c>
      <c r="B1441" s="3">
        <v>1608560</v>
      </c>
      <c r="C1441" s="3" t="s">
        <v>153</v>
      </c>
      <c r="D1441" s="4">
        <v>20318340</v>
      </c>
      <c r="E1441" s="3" t="s">
        <v>240</v>
      </c>
      <c r="F1441" s="4">
        <v>1</v>
      </c>
      <c r="G1441" s="5">
        <v>16.5</v>
      </c>
      <c r="H1441" s="5">
        <f t="shared" si="22"/>
        <v>16.5</v>
      </c>
    </row>
    <row r="1442" customFormat="1" hidden="1" spans="1:8">
      <c r="A1442" s="2">
        <v>46175</v>
      </c>
      <c r="B1442" s="3">
        <v>1608560</v>
      </c>
      <c r="C1442" s="3" t="s">
        <v>153</v>
      </c>
      <c r="D1442" s="4">
        <v>20321250</v>
      </c>
      <c r="E1442" s="3" t="s">
        <v>259</v>
      </c>
      <c r="F1442" s="4">
        <v>2</v>
      </c>
      <c r="G1442" s="5">
        <v>16.5</v>
      </c>
      <c r="H1442" s="5">
        <f t="shared" si="22"/>
        <v>33</v>
      </c>
    </row>
    <row r="1443" customFormat="1" hidden="1" spans="1:8">
      <c r="A1443" s="2">
        <v>46175</v>
      </c>
      <c r="B1443" s="3">
        <v>1608560</v>
      </c>
      <c r="C1443" s="3" t="s">
        <v>153</v>
      </c>
      <c r="D1443" s="4">
        <v>20383164</v>
      </c>
      <c r="E1443" s="3" t="s">
        <v>273</v>
      </c>
      <c r="F1443" s="4">
        <v>1</v>
      </c>
      <c r="G1443" s="5">
        <v>22</v>
      </c>
      <c r="H1443" s="5">
        <f t="shared" si="22"/>
        <v>22</v>
      </c>
    </row>
    <row r="1444" customFormat="1" hidden="1" spans="1:8">
      <c r="A1444" s="2">
        <v>46175</v>
      </c>
      <c r="B1444" s="3">
        <v>1608560</v>
      </c>
      <c r="C1444" s="3" t="s">
        <v>153</v>
      </c>
      <c r="D1444" s="4">
        <v>20318342</v>
      </c>
      <c r="E1444" s="3" t="s">
        <v>304</v>
      </c>
      <c r="F1444" s="4">
        <v>1</v>
      </c>
      <c r="G1444" s="5">
        <v>16.5</v>
      </c>
      <c r="H1444" s="5">
        <f t="shared" si="22"/>
        <v>16.5</v>
      </c>
    </row>
    <row r="1445" customFormat="1" hidden="1" spans="1:8">
      <c r="A1445" s="2">
        <v>46175</v>
      </c>
      <c r="B1445" s="3">
        <v>1608582</v>
      </c>
      <c r="C1445" s="3" t="s">
        <v>150</v>
      </c>
      <c r="D1445" s="4">
        <v>20321252</v>
      </c>
      <c r="E1445" s="3" t="s">
        <v>162</v>
      </c>
      <c r="F1445" s="4">
        <v>1</v>
      </c>
      <c r="G1445" s="5">
        <v>49.5</v>
      </c>
      <c r="H1445" s="5">
        <f t="shared" si="22"/>
        <v>49.5</v>
      </c>
    </row>
    <row r="1446" customFormat="1" hidden="1" spans="1:8">
      <c r="A1446" s="2">
        <v>46175</v>
      </c>
      <c r="B1446" s="3">
        <v>1608582</v>
      </c>
      <c r="C1446" s="3" t="s">
        <v>150</v>
      </c>
      <c r="D1446" s="4">
        <v>20312966</v>
      </c>
      <c r="E1446" s="3" t="s">
        <v>258</v>
      </c>
      <c r="F1446" s="4">
        <v>6</v>
      </c>
      <c r="G1446" s="5">
        <v>159.5</v>
      </c>
      <c r="H1446" s="5">
        <f t="shared" si="22"/>
        <v>957</v>
      </c>
    </row>
    <row r="1447" customFormat="1" hidden="1" spans="1:8">
      <c r="A1447" s="2">
        <v>46175</v>
      </c>
      <c r="B1447" s="3">
        <v>1608582</v>
      </c>
      <c r="C1447" s="3" t="s">
        <v>150</v>
      </c>
      <c r="D1447" s="4">
        <v>20312965</v>
      </c>
      <c r="E1447" s="3" t="s">
        <v>112</v>
      </c>
      <c r="F1447" s="4">
        <v>1</v>
      </c>
      <c r="G1447" s="5">
        <v>137.5</v>
      </c>
      <c r="H1447" s="5">
        <f t="shared" si="22"/>
        <v>137.5</v>
      </c>
    </row>
    <row r="1448" customFormat="1" hidden="1" spans="1:8">
      <c r="A1448" s="2">
        <v>46175</v>
      </c>
      <c r="B1448" s="3">
        <v>1608582</v>
      </c>
      <c r="C1448" s="3" t="s">
        <v>150</v>
      </c>
      <c r="D1448" s="4">
        <v>20312967</v>
      </c>
      <c r="E1448" s="3" t="s">
        <v>289</v>
      </c>
      <c r="F1448" s="4">
        <v>3</v>
      </c>
      <c r="G1448" s="5">
        <v>176</v>
      </c>
      <c r="H1448" s="5">
        <f t="shared" si="22"/>
        <v>528</v>
      </c>
    </row>
    <row r="1449" customFormat="1" hidden="1" spans="1:8">
      <c r="A1449" s="2">
        <v>46175</v>
      </c>
      <c r="B1449" s="3">
        <v>1608582</v>
      </c>
      <c r="C1449" s="3" t="s">
        <v>154</v>
      </c>
      <c r="D1449" s="4">
        <v>20322353</v>
      </c>
      <c r="E1449" s="3" t="s">
        <v>297</v>
      </c>
      <c r="F1449" s="4">
        <v>1</v>
      </c>
      <c r="G1449" s="5">
        <v>71.5</v>
      </c>
      <c r="H1449" s="5">
        <f t="shared" si="22"/>
        <v>71.5</v>
      </c>
    </row>
    <row r="1450" customFormat="1" hidden="1" spans="1:8">
      <c r="A1450" s="2">
        <v>46175</v>
      </c>
      <c r="B1450" s="3">
        <v>1608582</v>
      </c>
      <c r="C1450" s="3" t="s">
        <v>151</v>
      </c>
      <c r="D1450" s="4">
        <v>20424977</v>
      </c>
      <c r="E1450" s="3" t="s">
        <v>178</v>
      </c>
      <c r="F1450" s="4">
        <v>1</v>
      </c>
      <c r="G1450" s="5">
        <v>8</v>
      </c>
      <c r="H1450" s="5">
        <f t="shared" si="22"/>
        <v>8</v>
      </c>
    </row>
    <row r="1451" customFormat="1" hidden="1" spans="1:8">
      <c r="A1451" s="2">
        <v>46175</v>
      </c>
      <c r="B1451" s="3">
        <v>1608582</v>
      </c>
      <c r="C1451" s="3" t="s">
        <v>151</v>
      </c>
      <c r="D1451" s="4">
        <v>20318363</v>
      </c>
      <c r="E1451" s="3" t="s">
        <v>94</v>
      </c>
      <c r="F1451" s="4">
        <v>1</v>
      </c>
      <c r="G1451" s="5">
        <v>8</v>
      </c>
      <c r="H1451" s="5">
        <f t="shared" si="22"/>
        <v>8</v>
      </c>
    </row>
    <row r="1452" customFormat="1" hidden="1" spans="1:8">
      <c r="A1452" s="2">
        <v>46175</v>
      </c>
      <c r="B1452" s="3">
        <v>1608582</v>
      </c>
      <c r="C1452" s="3" t="s">
        <v>151</v>
      </c>
      <c r="D1452" s="4">
        <v>20340288</v>
      </c>
      <c r="E1452" s="3" t="s">
        <v>282</v>
      </c>
      <c r="F1452" s="4">
        <v>1</v>
      </c>
      <c r="G1452" s="5">
        <v>22</v>
      </c>
      <c r="H1452" s="5">
        <f t="shared" si="22"/>
        <v>22</v>
      </c>
    </row>
    <row r="1453" customFormat="1" hidden="1" spans="1:8">
      <c r="A1453" s="2">
        <v>46175</v>
      </c>
      <c r="B1453" s="3">
        <v>1608582</v>
      </c>
      <c r="C1453" s="3" t="s">
        <v>151</v>
      </c>
      <c r="D1453" s="4">
        <v>20318395</v>
      </c>
      <c r="E1453" s="3" t="s">
        <v>309</v>
      </c>
      <c r="F1453" s="4">
        <v>1</v>
      </c>
      <c r="G1453" s="5">
        <v>16.5</v>
      </c>
      <c r="H1453" s="5">
        <f t="shared" si="22"/>
        <v>16.5</v>
      </c>
    </row>
    <row r="1454" customFormat="1" hidden="1" spans="1:8">
      <c r="A1454" s="2">
        <v>46175</v>
      </c>
      <c r="B1454" s="3">
        <v>1608582</v>
      </c>
      <c r="C1454" s="3" t="s">
        <v>153</v>
      </c>
      <c r="D1454" s="4">
        <v>20321257</v>
      </c>
      <c r="E1454" s="3" t="s">
        <v>68</v>
      </c>
      <c r="F1454" s="4">
        <v>4</v>
      </c>
      <c r="G1454" s="5">
        <v>16.5</v>
      </c>
      <c r="H1454" s="5">
        <f t="shared" si="22"/>
        <v>66</v>
      </c>
    </row>
    <row r="1455" customFormat="1" hidden="1" spans="1:8">
      <c r="A1455" s="2">
        <v>46175</v>
      </c>
      <c r="B1455" s="3">
        <v>1608582</v>
      </c>
      <c r="C1455" s="3" t="s">
        <v>153</v>
      </c>
      <c r="D1455" s="4">
        <v>20318361</v>
      </c>
      <c r="E1455" s="3" t="s">
        <v>185</v>
      </c>
      <c r="F1455" s="4">
        <v>1</v>
      </c>
      <c r="G1455" s="5">
        <v>16.5</v>
      </c>
      <c r="H1455" s="5">
        <f t="shared" si="22"/>
        <v>16.5</v>
      </c>
    </row>
    <row r="1456" customFormat="1" hidden="1" spans="1:8">
      <c r="A1456" s="2">
        <v>46175</v>
      </c>
      <c r="B1456" s="3">
        <v>1608582</v>
      </c>
      <c r="C1456" s="3" t="s">
        <v>153</v>
      </c>
      <c r="D1456" s="4">
        <v>20318334</v>
      </c>
      <c r="E1456" s="3" t="s">
        <v>186</v>
      </c>
      <c r="F1456" s="4">
        <v>1</v>
      </c>
      <c r="G1456" s="5">
        <v>16.5</v>
      </c>
      <c r="H1456" s="5">
        <f t="shared" si="22"/>
        <v>16.5</v>
      </c>
    </row>
    <row r="1457" customFormat="1" hidden="1" spans="1:8">
      <c r="A1457" s="2">
        <v>46175</v>
      </c>
      <c r="B1457" s="3">
        <v>1608582</v>
      </c>
      <c r="C1457" s="3" t="s">
        <v>153</v>
      </c>
      <c r="D1457" s="4">
        <v>20321250</v>
      </c>
      <c r="E1457" s="3" t="s">
        <v>259</v>
      </c>
      <c r="F1457" s="4">
        <v>1</v>
      </c>
      <c r="G1457" s="5">
        <v>16.5</v>
      </c>
      <c r="H1457" s="5">
        <f t="shared" si="22"/>
        <v>16.5</v>
      </c>
    </row>
    <row r="1458" customFormat="1" hidden="1" spans="1:8">
      <c r="A1458" s="2">
        <v>46175</v>
      </c>
      <c r="B1458" s="3">
        <v>1608582</v>
      </c>
      <c r="C1458" s="3" t="s">
        <v>153</v>
      </c>
      <c r="D1458" s="4">
        <v>20340289</v>
      </c>
      <c r="E1458" s="3" t="s">
        <v>272</v>
      </c>
      <c r="F1458" s="4">
        <v>2</v>
      </c>
      <c r="G1458" s="5">
        <v>16.5</v>
      </c>
      <c r="H1458" s="5">
        <f t="shared" si="22"/>
        <v>33</v>
      </c>
    </row>
    <row r="1459" customFormat="1" hidden="1" spans="1:8">
      <c r="A1459" s="2">
        <v>46175</v>
      </c>
      <c r="B1459" s="3">
        <v>1608582</v>
      </c>
      <c r="C1459" s="3" t="s">
        <v>153</v>
      </c>
      <c r="D1459" s="4">
        <v>20318336</v>
      </c>
      <c r="E1459" s="3" t="s">
        <v>303</v>
      </c>
      <c r="F1459" s="4">
        <v>1</v>
      </c>
      <c r="G1459" s="5">
        <v>16.5</v>
      </c>
      <c r="H1459" s="5">
        <f t="shared" si="22"/>
        <v>16.5</v>
      </c>
    </row>
    <row r="1460" customFormat="1" hidden="1" spans="1:8">
      <c r="A1460" s="2">
        <v>46175</v>
      </c>
      <c r="B1460" s="3">
        <v>1608582</v>
      </c>
      <c r="C1460" s="3" t="s">
        <v>153</v>
      </c>
      <c r="D1460" s="4">
        <v>20318342</v>
      </c>
      <c r="E1460" s="3" t="s">
        <v>304</v>
      </c>
      <c r="F1460" s="4">
        <v>1</v>
      </c>
      <c r="G1460" s="5">
        <v>16.5</v>
      </c>
      <c r="H1460" s="5">
        <f t="shared" si="22"/>
        <v>16.5</v>
      </c>
    </row>
    <row r="1461" customFormat="1" hidden="1" spans="1:8">
      <c r="A1461" s="6">
        <v>46176</v>
      </c>
      <c r="B1461" s="7">
        <v>1608755</v>
      </c>
      <c r="C1461" s="7" t="s">
        <v>320</v>
      </c>
      <c r="D1461" s="8">
        <v>20327256</v>
      </c>
      <c r="E1461" s="7" t="s">
        <v>270</v>
      </c>
      <c r="F1461" s="8">
        <v>1</v>
      </c>
      <c r="G1461" s="9">
        <v>88</v>
      </c>
      <c r="H1461" s="9">
        <f t="shared" si="22"/>
        <v>88</v>
      </c>
    </row>
    <row r="1462" customFormat="1" hidden="1" spans="1:8">
      <c r="A1462" s="2">
        <v>46176</v>
      </c>
      <c r="B1462" s="3">
        <v>1608796</v>
      </c>
      <c r="C1462" s="3" t="s">
        <v>150</v>
      </c>
      <c r="D1462" s="4">
        <v>20321476</v>
      </c>
      <c r="E1462" s="3" t="s">
        <v>161</v>
      </c>
      <c r="F1462" s="4">
        <v>1</v>
      </c>
      <c r="G1462" s="5">
        <v>55</v>
      </c>
      <c r="H1462" s="5">
        <f t="shared" si="22"/>
        <v>55</v>
      </c>
    </row>
    <row r="1463" customFormat="1" hidden="1" spans="1:8">
      <c r="A1463" s="2">
        <v>46176</v>
      </c>
      <c r="B1463" s="3">
        <v>1608796</v>
      </c>
      <c r="C1463" s="3" t="s">
        <v>150</v>
      </c>
      <c r="D1463" s="4">
        <v>20312965</v>
      </c>
      <c r="E1463" s="3" t="s">
        <v>112</v>
      </c>
      <c r="F1463" s="4">
        <v>2</v>
      </c>
      <c r="G1463" s="5">
        <v>137.5</v>
      </c>
      <c r="H1463" s="5">
        <f t="shared" si="22"/>
        <v>275</v>
      </c>
    </row>
    <row r="1464" customFormat="1" hidden="1" spans="1:8">
      <c r="A1464" s="2">
        <v>46176</v>
      </c>
      <c r="B1464" s="3">
        <v>1608796</v>
      </c>
      <c r="C1464" s="3" t="s">
        <v>150</v>
      </c>
      <c r="D1464" s="4">
        <v>20312967</v>
      </c>
      <c r="E1464" s="3" t="s">
        <v>289</v>
      </c>
      <c r="F1464" s="4">
        <v>2</v>
      </c>
      <c r="G1464" s="5">
        <v>176</v>
      </c>
      <c r="H1464" s="5">
        <f t="shared" si="22"/>
        <v>352</v>
      </c>
    </row>
    <row r="1465" customFormat="1" hidden="1" spans="1:8">
      <c r="A1465" s="2">
        <v>46176</v>
      </c>
      <c r="B1465" s="3">
        <v>1608796</v>
      </c>
      <c r="C1465" s="3" t="s">
        <v>151</v>
      </c>
      <c r="D1465" s="4">
        <v>20410296</v>
      </c>
      <c r="E1465" s="3" t="s">
        <v>188</v>
      </c>
      <c r="F1465" s="4">
        <v>1</v>
      </c>
      <c r="G1465" s="5">
        <v>16.5</v>
      </c>
      <c r="H1465" s="5">
        <f t="shared" si="22"/>
        <v>16.5</v>
      </c>
    </row>
    <row r="1466" customFormat="1" hidden="1" spans="1:8">
      <c r="A1466" s="2">
        <v>46176</v>
      </c>
      <c r="B1466" s="3">
        <v>1608796</v>
      </c>
      <c r="C1466" s="3" t="s">
        <v>156</v>
      </c>
      <c r="D1466" s="4">
        <v>20322304</v>
      </c>
      <c r="E1466" s="3" t="s">
        <v>275</v>
      </c>
      <c r="F1466" s="4">
        <v>7</v>
      </c>
      <c r="G1466" s="5">
        <v>25</v>
      </c>
      <c r="H1466" s="5">
        <f t="shared" si="22"/>
        <v>175</v>
      </c>
    </row>
    <row r="1467" customFormat="1" hidden="1" spans="1:8">
      <c r="A1467" s="2">
        <v>46176</v>
      </c>
      <c r="B1467" s="3">
        <v>1608796</v>
      </c>
      <c r="C1467" s="3" t="s">
        <v>152</v>
      </c>
      <c r="D1467" s="4">
        <v>20366063</v>
      </c>
      <c r="E1467" s="3" t="s">
        <v>193</v>
      </c>
      <c r="F1467" s="4">
        <v>1</v>
      </c>
      <c r="G1467" s="5">
        <v>66</v>
      </c>
      <c r="H1467" s="5">
        <f t="shared" si="22"/>
        <v>66</v>
      </c>
    </row>
    <row r="1468" customFormat="1" hidden="1" spans="1:8">
      <c r="A1468" s="2">
        <v>46176</v>
      </c>
      <c r="B1468" s="3">
        <v>1608796</v>
      </c>
      <c r="C1468" s="3" t="s">
        <v>153</v>
      </c>
      <c r="D1468" s="4">
        <v>20321257</v>
      </c>
      <c r="E1468" s="3" t="s">
        <v>68</v>
      </c>
      <c r="F1468" s="4">
        <v>3</v>
      </c>
      <c r="G1468" s="5">
        <v>16.5</v>
      </c>
      <c r="H1468" s="5">
        <f t="shared" si="22"/>
        <v>49.5</v>
      </c>
    </row>
    <row r="1469" customFormat="1" hidden="1" spans="1:8">
      <c r="A1469" s="2">
        <v>46176</v>
      </c>
      <c r="B1469" s="3">
        <v>1608796</v>
      </c>
      <c r="C1469" s="3" t="s">
        <v>153</v>
      </c>
      <c r="D1469" s="4">
        <v>20318380</v>
      </c>
      <c r="E1469" s="3" t="s">
        <v>232</v>
      </c>
      <c r="F1469" s="4">
        <v>1</v>
      </c>
      <c r="G1469" s="5">
        <v>16.5</v>
      </c>
      <c r="H1469" s="5">
        <f t="shared" si="22"/>
        <v>16.5</v>
      </c>
    </row>
    <row r="1470" customFormat="1" hidden="1" spans="1:8">
      <c r="A1470" s="2">
        <v>46176</v>
      </c>
      <c r="B1470" s="3">
        <v>1608796</v>
      </c>
      <c r="C1470" s="3" t="s">
        <v>153</v>
      </c>
      <c r="D1470" s="4">
        <v>20383164</v>
      </c>
      <c r="E1470" s="3" t="s">
        <v>273</v>
      </c>
      <c r="F1470" s="4">
        <v>1</v>
      </c>
      <c r="G1470" s="5">
        <v>22</v>
      </c>
      <c r="H1470" s="5">
        <f t="shared" si="22"/>
        <v>22</v>
      </c>
    </row>
    <row r="1471" customFormat="1" hidden="1" spans="1:8">
      <c r="A1471" s="2">
        <v>46176</v>
      </c>
      <c r="B1471" s="3">
        <v>1608801</v>
      </c>
      <c r="C1471" s="3" t="s">
        <v>150</v>
      </c>
      <c r="D1471" s="4">
        <v>20313003</v>
      </c>
      <c r="E1471" s="3" t="s">
        <v>239</v>
      </c>
      <c r="F1471" s="4">
        <v>1</v>
      </c>
      <c r="G1471" s="5">
        <v>418</v>
      </c>
      <c r="H1471" s="5">
        <f t="shared" si="22"/>
        <v>418</v>
      </c>
    </row>
    <row r="1472" customFormat="1" hidden="1" spans="1:8">
      <c r="A1472" s="2">
        <v>46176</v>
      </c>
      <c r="B1472" s="3">
        <v>1608801</v>
      </c>
      <c r="C1472" s="3" t="s">
        <v>150</v>
      </c>
      <c r="D1472" s="4">
        <v>20312966</v>
      </c>
      <c r="E1472" s="3" t="s">
        <v>258</v>
      </c>
      <c r="F1472" s="4">
        <v>2</v>
      </c>
      <c r="G1472" s="5">
        <v>159.5</v>
      </c>
      <c r="H1472" s="5">
        <f t="shared" si="22"/>
        <v>319</v>
      </c>
    </row>
    <row r="1473" customFormat="1" hidden="1" spans="1:8">
      <c r="A1473" s="2">
        <v>46176</v>
      </c>
      <c r="B1473" s="3">
        <v>1608801</v>
      </c>
      <c r="C1473" s="3" t="s">
        <v>150</v>
      </c>
      <c r="D1473" s="4">
        <v>20312967</v>
      </c>
      <c r="E1473" s="3" t="s">
        <v>289</v>
      </c>
      <c r="F1473" s="4">
        <v>7</v>
      </c>
      <c r="G1473" s="5">
        <v>176</v>
      </c>
      <c r="H1473" s="5">
        <f t="shared" si="22"/>
        <v>1232</v>
      </c>
    </row>
    <row r="1474" customFormat="1" hidden="1" spans="1:8">
      <c r="A1474" s="2">
        <v>46176</v>
      </c>
      <c r="B1474" s="3">
        <v>1608801</v>
      </c>
      <c r="C1474" s="3" t="s">
        <v>151</v>
      </c>
      <c r="D1474" s="4">
        <v>20411008</v>
      </c>
      <c r="E1474" s="3" t="s">
        <v>198</v>
      </c>
      <c r="F1474" s="4">
        <v>1</v>
      </c>
      <c r="G1474" s="5">
        <v>16.5</v>
      </c>
      <c r="H1474" s="5">
        <f t="shared" ref="H1474:H1537" si="23">G1474*F1474</f>
        <v>16.5</v>
      </c>
    </row>
    <row r="1475" customFormat="1" hidden="1" spans="1:8">
      <c r="A1475" s="2">
        <v>46176</v>
      </c>
      <c r="B1475" s="3">
        <v>1608801</v>
      </c>
      <c r="C1475" s="3" t="s">
        <v>156</v>
      </c>
      <c r="D1475" s="4">
        <v>20322235</v>
      </c>
      <c r="E1475" s="3" t="s">
        <v>111</v>
      </c>
      <c r="F1475" s="4">
        <v>9</v>
      </c>
      <c r="G1475" s="5">
        <v>2.5</v>
      </c>
      <c r="H1475" s="5">
        <f t="shared" si="23"/>
        <v>22.5</v>
      </c>
    </row>
    <row r="1476" customFormat="1" hidden="1" spans="1:8">
      <c r="A1476" s="2">
        <v>46176</v>
      </c>
      <c r="B1476" s="3">
        <v>1608801</v>
      </c>
      <c r="C1476" s="3" t="s">
        <v>156</v>
      </c>
      <c r="D1476" s="4">
        <v>20322243</v>
      </c>
      <c r="E1476" s="3" t="s">
        <v>117</v>
      </c>
      <c r="F1476" s="4">
        <v>2</v>
      </c>
      <c r="G1476" s="5">
        <v>30</v>
      </c>
      <c r="H1476" s="5">
        <f t="shared" si="23"/>
        <v>60</v>
      </c>
    </row>
    <row r="1477" customFormat="1" hidden="1" spans="1:8">
      <c r="A1477" s="2">
        <v>46176</v>
      </c>
      <c r="B1477" s="3">
        <v>1608801</v>
      </c>
      <c r="C1477" s="3" t="s">
        <v>156</v>
      </c>
      <c r="D1477" s="4">
        <v>20330757</v>
      </c>
      <c r="E1477" s="3" t="s">
        <v>288</v>
      </c>
      <c r="F1477" s="4">
        <v>8</v>
      </c>
      <c r="G1477" s="5">
        <v>35</v>
      </c>
      <c r="H1477" s="5">
        <f t="shared" si="23"/>
        <v>280</v>
      </c>
    </row>
    <row r="1478" customFormat="1" hidden="1" spans="1:8">
      <c r="A1478" s="2">
        <v>46176</v>
      </c>
      <c r="B1478" s="3">
        <v>1608801</v>
      </c>
      <c r="C1478" s="3" t="s">
        <v>153</v>
      </c>
      <c r="D1478" s="4">
        <v>20321257</v>
      </c>
      <c r="E1478" s="3" t="s">
        <v>68</v>
      </c>
      <c r="F1478" s="4">
        <v>7</v>
      </c>
      <c r="G1478" s="5">
        <v>16.5</v>
      </c>
      <c r="H1478" s="5">
        <f t="shared" si="23"/>
        <v>115.5</v>
      </c>
    </row>
    <row r="1479" customFormat="1" hidden="1" spans="1:8">
      <c r="A1479" s="2">
        <v>46176</v>
      </c>
      <c r="B1479" s="3">
        <v>1608801</v>
      </c>
      <c r="C1479" s="3" t="s">
        <v>153</v>
      </c>
      <c r="D1479" s="4">
        <v>20318378</v>
      </c>
      <c r="E1479" s="3" t="s">
        <v>231</v>
      </c>
      <c r="F1479" s="4">
        <v>2</v>
      </c>
      <c r="G1479" s="5">
        <v>16.5</v>
      </c>
      <c r="H1479" s="5">
        <f t="shared" si="23"/>
        <v>33</v>
      </c>
    </row>
    <row r="1480" customFormat="1" hidden="1" spans="1:8">
      <c r="A1480" s="2">
        <v>46176</v>
      </c>
      <c r="B1480" s="3">
        <v>1608801</v>
      </c>
      <c r="C1480" s="3" t="s">
        <v>153</v>
      </c>
      <c r="D1480" s="4">
        <v>20318380</v>
      </c>
      <c r="E1480" s="3" t="s">
        <v>232</v>
      </c>
      <c r="F1480" s="4">
        <v>1</v>
      </c>
      <c r="G1480" s="5">
        <v>16.5</v>
      </c>
      <c r="H1480" s="5">
        <f t="shared" si="23"/>
        <v>16.5</v>
      </c>
    </row>
    <row r="1481" customFormat="1" hidden="1" spans="1:8">
      <c r="A1481" s="2">
        <v>46176</v>
      </c>
      <c r="B1481" s="3">
        <v>1608801</v>
      </c>
      <c r="C1481" s="3" t="s">
        <v>153</v>
      </c>
      <c r="D1481" s="4">
        <v>20318340</v>
      </c>
      <c r="E1481" s="3" t="s">
        <v>240</v>
      </c>
      <c r="F1481" s="4">
        <v>1</v>
      </c>
      <c r="G1481" s="5">
        <v>16.5</v>
      </c>
      <c r="H1481" s="5">
        <f t="shared" si="23"/>
        <v>16.5</v>
      </c>
    </row>
    <row r="1482" customFormat="1" hidden="1" spans="1:8">
      <c r="A1482" s="2">
        <v>46176</v>
      </c>
      <c r="B1482" s="3">
        <v>1608801</v>
      </c>
      <c r="C1482" s="3" t="s">
        <v>153</v>
      </c>
      <c r="D1482" s="4">
        <v>20340289</v>
      </c>
      <c r="E1482" s="3" t="s">
        <v>272</v>
      </c>
      <c r="F1482" s="4">
        <v>1</v>
      </c>
      <c r="G1482" s="5">
        <v>16.5</v>
      </c>
      <c r="H1482" s="5">
        <f t="shared" si="23"/>
        <v>16.5</v>
      </c>
    </row>
    <row r="1483" customFormat="1" hidden="1" spans="1:8">
      <c r="A1483" s="2">
        <v>46176</v>
      </c>
      <c r="B1483" s="3">
        <v>1608801</v>
      </c>
      <c r="C1483" s="3" t="s">
        <v>153</v>
      </c>
      <c r="D1483" s="4">
        <v>20318342</v>
      </c>
      <c r="E1483" s="3" t="s">
        <v>304</v>
      </c>
      <c r="F1483" s="4">
        <v>2</v>
      </c>
      <c r="G1483" s="5">
        <v>16.5</v>
      </c>
      <c r="H1483" s="5">
        <f t="shared" si="23"/>
        <v>33</v>
      </c>
    </row>
    <row r="1484" customFormat="1" hidden="1" spans="1:8">
      <c r="A1484" s="2">
        <v>46176</v>
      </c>
      <c r="B1484" s="3">
        <v>1608801</v>
      </c>
      <c r="C1484" s="3" t="s">
        <v>153</v>
      </c>
      <c r="D1484" s="4">
        <v>20318393</v>
      </c>
      <c r="E1484" s="3" t="s">
        <v>140</v>
      </c>
      <c r="F1484" s="4">
        <v>1</v>
      </c>
      <c r="G1484" s="5">
        <v>16.5</v>
      </c>
      <c r="H1484" s="5">
        <f t="shared" si="23"/>
        <v>16.5</v>
      </c>
    </row>
    <row r="1485" customFormat="1" hidden="1" spans="1:8">
      <c r="A1485" s="2">
        <v>46176</v>
      </c>
      <c r="B1485" s="3">
        <v>1608879</v>
      </c>
      <c r="C1485" s="3" t="s">
        <v>150</v>
      </c>
      <c r="D1485" s="4">
        <v>20424417</v>
      </c>
      <c r="E1485" s="3" t="s">
        <v>312</v>
      </c>
      <c r="F1485" s="4">
        <v>2</v>
      </c>
      <c r="G1485" s="5">
        <v>66</v>
      </c>
      <c r="H1485" s="5">
        <f t="shared" si="23"/>
        <v>132</v>
      </c>
    </row>
    <row r="1486" customFormat="1" hidden="1" spans="1:8">
      <c r="A1486" s="2">
        <v>46176</v>
      </c>
      <c r="B1486" s="3">
        <v>1608893</v>
      </c>
      <c r="C1486" s="3" t="s">
        <v>150</v>
      </c>
      <c r="D1486" s="4">
        <v>20331447</v>
      </c>
      <c r="E1486" s="3" t="s">
        <v>243</v>
      </c>
      <c r="F1486" s="4">
        <v>1</v>
      </c>
      <c r="G1486" s="5">
        <v>264</v>
      </c>
      <c r="H1486" s="5">
        <f t="shared" si="23"/>
        <v>264</v>
      </c>
    </row>
    <row r="1487" customFormat="1" hidden="1" spans="1:8">
      <c r="A1487" s="2">
        <v>46176</v>
      </c>
      <c r="B1487" s="3">
        <v>1608893</v>
      </c>
      <c r="C1487" s="3" t="s">
        <v>150</v>
      </c>
      <c r="D1487" s="4">
        <v>20312966</v>
      </c>
      <c r="E1487" s="3" t="s">
        <v>258</v>
      </c>
      <c r="F1487" s="4">
        <v>4</v>
      </c>
      <c r="G1487" s="5">
        <v>159.5</v>
      </c>
      <c r="H1487" s="5">
        <f t="shared" si="23"/>
        <v>638</v>
      </c>
    </row>
    <row r="1488" customFormat="1" hidden="1" spans="1:8">
      <c r="A1488" s="2">
        <v>46176</v>
      </c>
      <c r="B1488" s="3">
        <v>1608893</v>
      </c>
      <c r="C1488" s="3" t="s">
        <v>150</v>
      </c>
      <c r="D1488" s="4">
        <v>20312965</v>
      </c>
      <c r="E1488" s="3" t="s">
        <v>112</v>
      </c>
      <c r="F1488" s="4">
        <v>3</v>
      </c>
      <c r="G1488" s="5">
        <v>137.5</v>
      </c>
      <c r="H1488" s="5">
        <f t="shared" si="23"/>
        <v>412.5</v>
      </c>
    </row>
    <row r="1489" customFormat="1" hidden="1" spans="1:8">
      <c r="A1489" s="2">
        <v>46176</v>
      </c>
      <c r="B1489" s="3">
        <v>1608893</v>
      </c>
      <c r="C1489" s="3" t="s">
        <v>150</v>
      </c>
      <c r="D1489" s="4">
        <v>20312967</v>
      </c>
      <c r="E1489" s="3" t="s">
        <v>289</v>
      </c>
      <c r="F1489" s="4">
        <v>5</v>
      </c>
      <c r="G1489" s="5">
        <v>176</v>
      </c>
      <c r="H1489" s="5">
        <f t="shared" si="23"/>
        <v>880</v>
      </c>
    </row>
    <row r="1490" customFormat="1" hidden="1" spans="1:8">
      <c r="A1490" s="2">
        <v>46176</v>
      </c>
      <c r="B1490" s="3">
        <v>1608893</v>
      </c>
      <c r="C1490" s="3" t="s">
        <v>153</v>
      </c>
      <c r="D1490" s="4">
        <v>20318334</v>
      </c>
      <c r="E1490" s="3" t="s">
        <v>186</v>
      </c>
      <c r="F1490" s="4">
        <v>1</v>
      </c>
      <c r="G1490" s="5">
        <v>16.5</v>
      </c>
      <c r="H1490" s="5">
        <f t="shared" si="23"/>
        <v>16.5</v>
      </c>
    </row>
    <row r="1491" customFormat="1" hidden="1" spans="1:8">
      <c r="A1491" s="2">
        <v>46176</v>
      </c>
      <c r="B1491" s="3">
        <v>1608893</v>
      </c>
      <c r="C1491" s="3" t="s">
        <v>153</v>
      </c>
      <c r="D1491" s="4">
        <v>20343399</v>
      </c>
      <c r="E1491" s="3" t="s">
        <v>228</v>
      </c>
      <c r="F1491" s="4">
        <v>1</v>
      </c>
      <c r="G1491" s="5">
        <v>33</v>
      </c>
      <c r="H1491" s="5">
        <f t="shared" si="23"/>
        <v>33</v>
      </c>
    </row>
    <row r="1492" customFormat="1" hidden="1" spans="1:8">
      <c r="A1492" s="2">
        <v>46176</v>
      </c>
      <c r="B1492" s="3">
        <v>1608893</v>
      </c>
      <c r="C1492" s="3" t="s">
        <v>153</v>
      </c>
      <c r="D1492" s="4">
        <v>20318378</v>
      </c>
      <c r="E1492" s="3" t="s">
        <v>231</v>
      </c>
      <c r="F1492" s="4">
        <v>1</v>
      </c>
      <c r="G1492" s="5">
        <v>16.5</v>
      </c>
      <c r="H1492" s="5">
        <f t="shared" si="23"/>
        <v>16.5</v>
      </c>
    </row>
    <row r="1493" customFormat="1" hidden="1" spans="1:8">
      <c r="A1493" s="2">
        <v>46176</v>
      </c>
      <c r="B1493" s="3">
        <v>1608893</v>
      </c>
      <c r="C1493" s="3" t="s">
        <v>153</v>
      </c>
      <c r="D1493" s="4">
        <v>20340289</v>
      </c>
      <c r="E1493" s="3" t="s">
        <v>272</v>
      </c>
      <c r="F1493" s="4">
        <v>1</v>
      </c>
      <c r="G1493" s="5">
        <v>16.5</v>
      </c>
      <c r="H1493" s="5">
        <f t="shared" si="23"/>
        <v>16.5</v>
      </c>
    </row>
    <row r="1494" customFormat="1" hidden="1" spans="1:8">
      <c r="A1494" s="2">
        <v>46176</v>
      </c>
      <c r="B1494" s="3">
        <v>1608893</v>
      </c>
      <c r="C1494" s="3" t="s">
        <v>153</v>
      </c>
      <c r="D1494" s="4">
        <v>20407575</v>
      </c>
      <c r="E1494" s="3" t="s">
        <v>284</v>
      </c>
      <c r="F1494" s="4">
        <v>1</v>
      </c>
      <c r="G1494" s="5">
        <v>16.5</v>
      </c>
      <c r="H1494" s="5">
        <f t="shared" si="23"/>
        <v>16.5</v>
      </c>
    </row>
    <row r="1495" customFormat="1" hidden="1" spans="1:8">
      <c r="A1495" s="2">
        <v>46176</v>
      </c>
      <c r="B1495" s="3">
        <v>1608893</v>
      </c>
      <c r="C1495" s="3" t="s">
        <v>153</v>
      </c>
      <c r="D1495" s="4">
        <v>20318336</v>
      </c>
      <c r="E1495" s="3" t="s">
        <v>303</v>
      </c>
      <c r="F1495" s="4">
        <v>1</v>
      </c>
      <c r="G1495" s="5">
        <v>16.5</v>
      </c>
      <c r="H1495" s="5">
        <f t="shared" si="23"/>
        <v>16.5</v>
      </c>
    </row>
    <row r="1496" customFormat="1" hidden="1" spans="1:8">
      <c r="A1496" s="2">
        <v>46176</v>
      </c>
      <c r="B1496" s="3">
        <v>1608898</v>
      </c>
      <c r="C1496" s="3" t="s">
        <v>150</v>
      </c>
      <c r="D1496" s="4">
        <v>20312967</v>
      </c>
      <c r="E1496" s="3" t="s">
        <v>289</v>
      </c>
      <c r="F1496" s="4">
        <v>2</v>
      </c>
      <c r="G1496" s="5">
        <v>176</v>
      </c>
      <c r="H1496" s="5">
        <f t="shared" si="23"/>
        <v>352</v>
      </c>
    </row>
    <row r="1497" customFormat="1" hidden="1" spans="1:8">
      <c r="A1497" s="2">
        <v>46176</v>
      </c>
      <c r="B1497" s="3">
        <v>1608898</v>
      </c>
      <c r="C1497" s="3" t="s">
        <v>156</v>
      </c>
      <c r="D1497" s="4">
        <v>20322235</v>
      </c>
      <c r="E1497" s="3" t="s">
        <v>111</v>
      </c>
      <c r="F1497" s="4">
        <v>16</v>
      </c>
      <c r="G1497" s="5">
        <v>2.5</v>
      </c>
      <c r="H1497" s="5">
        <f t="shared" si="23"/>
        <v>40</v>
      </c>
    </row>
    <row r="1498" customFormat="1" hidden="1" spans="1:8">
      <c r="A1498" s="2">
        <v>46176</v>
      </c>
      <c r="B1498" s="3">
        <v>1608898</v>
      </c>
      <c r="C1498" s="3" t="s">
        <v>156</v>
      </c>
      <c r="D1498" s="4">
        <v>20322234</v>
      </c>
      <c r="E1498" s="3" t="s">
        <v>274</v>
      </c>
      <c r="F1498" s="4">
        <v>4</v>
      </c>
      <c r="G1498" s="5">
        <v>2.5</v>
      </c>
      <c r="H1498" s="5">
        <f t="shared" si="23"/>
        <v>10</v>
      </c>
    </row>
    <row r="1499" customFormat="1" hidden="1" spans="1:8">
      <c r="A1499" s="2">
        <v>46176</v>
      </c>
      <c r="B1499" s="3">
        <v>1608898</v>
      </c>
      <c r="C1499" s="3" t="s">
        <v>156</v>
      </c>
      <c r="D1499" s="4">
        <v>20330757</v>
      </c>
      <c r="E1499" s="3" t="s">
        <v>288</v>
      </c>
      <c r="F1499" s="4">
        <v>3</v>
      </c>
      <c r="G1499" s="5">
        <v>35</v>
      </c>
      <c r="H1499" s="5">
        <f t="shared" si="23"/>
        <v>105</v>
      </c>
    </row>
    <row r="1500" customFormat="1" hidden="1" spans="1:8">
      <c r="A1500" s="2">
        <v>46176</v>
      </c>
      <c r="B1500" s="3">
        <v>1608898</v>
      </c>
      <c r="C1500" s="3" t="s">
        <v>156</v>
      </c>
      <c r="D1500" s="4">
        <v>20402355</v>
      </c>
      <c r="E1500" s="3" t="s">
        <v>291</v>
      </c>
      <c r="F1500" s="4">
        <v>1</v>
      </c>
      <c r="G1500" s="5">
        <v>25</v>
      </c>
      <c r="H1500" s="5">
        <f t="shared" si="23"/>
        <v>25</v>
      </c>
    </row>
    <row r="1501" customFormat="1" hidden="1" spans="1:8">
      <c r="A1501" s="2">
        <v>46176</v>
      </c>
      <c r="B1501" s="3">
        <v>1608898</v>
      </c>
      <c r="C1501" s="3" t="s">
        <v>153</v>
      </c>
      <c r="D1501" s="4">
        <v>20318334</v>
      </c>
      <c r="E1501" s="3" t="s">
        <v>186</v>
      </c>
      <c r="F1501" s="4">
        <v>2</v>
      </c>
      <c r="G1501" s="5">
        <v>16.5</v>
      </c>
      <c r="H1501" s="5">
        <f t="shared" si="23"/>
        <v>33</v>
      </c>
    </row>
    <row r="1502" customFormat="1" hidden="1" spans="1:8">
      <c r="A1502" s="2">
        <v>46176</v>
      </c>
      <c r="B1502" s="3">
        <v>1608914</v>
      </c>
      <c r="C1502" s="3" t="s">
        <v>150</v>
      </c>
      <c r="D1502" s="4">
        <v>20321252</v>
      </c>
      <c r="E1502" s="3" t="s">
        <v>162</v>
      </c>
      <c r="F1502" s="4">
        <v>1</v>
      </c>
      <c r="G1502" s="5">
        <v>49.5</v>
      </c>
      <c r="H1502" s="5">
        <f t="shared" si="23"/>
        <v>49.5</v>
      </c>
    </row>
    <row r="1503" customFormat="1" hidden="1" spans="1:8">
      <c r="A1503" s="2">
        <v>46176</v>
      </c>
      <c r="B1503" s="3">
        <v>1608914</v>
      </c>
      <c r="C1503" s="3" t="s">
        <v>150</v>
      </c>
      <c r="D1503" s="4">
        <v>20365495</v>
      </c>
      <c r="E1503" s="3" t="s">
        <v>249</v>
      </c>
      <c r="F1503" s="4">
        <v>1</v>
      </c>
      <c r="G1503" s="5">
        <v>154</v>
      </c>
      <c r="H1503" s="5">
        <f t="shared" si="23"/>
        <v>154</v>
      </c>
    </row>
    <row r="1504" customFormat="1" hidden="1" spans="1:8">
      <c r="A1504" s="2">
        <v>46176</v>
      </c>
      <c r="B1504" s="3">
        <v>1608914</v>
      </c>
      <c r="C1504" s="3" t="s">
        <v>150</v>
      </c>
      <c r="D1504" s="4">
        <v>20312966</v>
      </c>
      <c r="E1504" s="3" t="s">
        <v>258</v>
      </c>
      <c r="F1504" s="4">
        <v>1</v>
      </c>
      <c r="G1504" s="5">
        <v>159.5</v>
      </c>
      <c r="H1504" s="5">
        <f t="shared" si="23"/>
        <v>159.5</v>
      </c>
    </row>
    <row r="1505" customFormat="1" hidden="1" spans="1:8">
      <c r="A1505" s="2">
        <v>46176</v>
      </c>
      <c r="B1505" s="3">
        <v>1608914</v>
      </c>
      <c r="C1505" s="3" t="s">
        <v>150</v>
      </c>
      <c r="D1505" s="4">
        <v>20312965</v>
      </c>
      <c r="E1505" s="3" t="s">
        <v>112</v>
      </c>
      <c r="F1505" s="4">
        <v>3</v>
      </c>
      <c r="G1505" s="5">
        <v>137.5</v>
      </c>
      <c r="H1505" s="5">
        <f t="shared" si="23"/>
        <v>412.5</v>
      </c>
    </row>
    <row r="1506" customFormat="1" hidden="1" spans="1:8">
      <c r="A1506" s="2">
        <v>46176</v>
      </c>
      <c r="B1506" s="3">
        <v>1608914</v>
      </c>
      <c r="C1506" s="3" t="s">
        <v>150</v>
      </c>
      <c r="D1506" s="4">
        <v>20312967</v>
      </c>
      <c r="E1506" s="3" t="s">
        <v>289</v>
      </c>
      <c r="F1506" s="4">
        <v>5</v>
      </c>
      <c r="G1506" s="5">
        <v>176</v>
      </c>
      <c r="H1506" s="5">
        <f t="shared" si="23"/>
        <v>880</v>
      </c>
    </row>
    <row r="1507" customFormat="1" hidden="1" spans="1:8">
      <c r="A1507" s="2">
        <v>46176</v>
      </c>
      <c r="B1507" s="3">
        <v>1608914</v>
      </c>
      <c r="C1507" s="3" t="s">
        <v>153</v>
      </c>
      <c r="D1507" s="4">
        <v>20321257</v>
      </c>
      <c r="E1507" s="3" t="s">
        <v>68</v>
      </c>
      <c r="F1507" s="4">
        <v>1</v>
      </c>
      <c r="G1507" s="5">
        <v>16.5</v>
      </c>
      <c r="H1507" s="5">
        <f t="shared" si="23"/>
        <v>16.5</v>
      </c>
    </row>
    <row r="1508" customFormat="1" hidden="1" spans="1:8">
      <c r="A1508" s="2">
        <v>46176</v>
      </c>
      <c r="B1508" s="3">
        <v>1608914</v>
      </c>
      <c r="C1508" s="3" t="s">
        <v>153</v>
      </c>
      <c r="D1508" s="4">
        <v>20318334</v>
      </c>
      <c r="E1508" s="3" t="s">
        <v>186</v>
      </c>
      <c r="F1508" s="4">
        <v>1</v>
      </c>
      <c r="G1508" s="5">
        <v>16.5</v>
      </c>
      <c r="H1508" s="5">
        <f t="shared" si="23"/>
        <v>16.5</v>
      </c>
    </row>
    <row r="1509" customFormat="1" hidden="1" spans="1:8">
      <c r="A1509" s="2">
        <v>46176</v>
      </c>
      <c r="B1509" s="3">
        <v>1608914</v>
      </c>
      <c r="C1509" s="3" t="s">
        <v>153</v>
      </c>
      <c r="D1509" s="4">
        <v>20318375</v>
      </c>
      <c r="E1509" s="3" t="s">
        <v>81</v>
      </c>
      <c r="F1509" s="4">
        <v>1</v>
      </c>
      <c r="G1509" s="5">
        <v>16.5</v>
      </c>
      <c r="H1509" s="5">
        <f t="shared" si="23"/>
        <v>16.5</v>
      </c>
    </row>
    <row r="1510" customFormat="1" hidden="1" spans="1:8">
      <c r="A1510" s="2">
        <v>46176</v>
      </c>
      <c r="B1510" s="3">
        <v>1608914</v>
      </c>
      <c r="C1510" s="3" t="s">
        <v>153</v>
      </c>
      <c r="D1510" s="4">
        <v>20369096</v>
      </c>
      <c r="E1510" s="3" t="s">
        <v>224</v>
      </c>
      <c r="F1510" s="4">
        <v>1</v>
      </c>
      <c r="G1510" s="5">
        <v>16.5</v>
      </c>
      <c r="H1510" s="5">
        <f t="shared" si="23"/>
        <v>16.5</v>
      </c>
    </row>
    <row r="1511" customFormat="1" hidden="1" spans="1:8">
      <c r="A1511" s="2">
        <v>46176</v>
      </c>
      <c r="B1511" s="3">
        <v>1608914</v>
      </c>
      <c r="C1511" s="3" t="s">
        <v>153</v>
      </c>
      <c r="D1511" s="4">
        <v>20343399</v>
      </c>
      <c r="E1511" s="3" t="s">
        <v>228</v>
      </c>
      <c r="F1511" s="4">
        <v>1</v>
      </c>
      <c r="G1511" s="5">
        <v>33</v>
      </c>
      <c r="H1511" s="5">
        <f t="shared" si="23"/>
        <v>33</v>
      </c>
    </row>
    <row r="1512" customFormat="1" hidden="1" spans="1:8">
      <c r="A1512" s="2">
        <v>46176</v>
      </c>
      <c r="B1512" s="3">
        <v>1608914</v>
      </c>
      <c r="C1512" s="3" t="s">
        <v>153</v>
      </c>
      <c r="D1512" s="4">
        <v>20318378</v>
      </c>
      <c r="E1512" s="3" t="s">
        <v>231</v>
      </c>
      <c r="F1512" s="4">
        <v>2</v>
      </c>
      <c r="G1512" s="5">
        <v>16.5</v>
      </c>
      <c r="H1512" s="5">
        <f t="shared" si="23"/>
        <v>33</v>
      </c>
    </row>
    <row r="1513" customFormat="1" hidden="1" spans="1:8">
      <c r="A1513" s="2">
        <v>46176</v>
      </c>
      <c r="B1513" s="3">
        <v>1608914</v>
      </c>
      <c r="C1513" s="3" t="s">
        <v>153</v>
      </c>
      <c r="D1513" s="4">
        <v>20321250</v>
      </c>
      <c r="E1513" s="3" t="s">
        <v>259</v>
      </c>
      <c r="F1513" s="4">
        <v>2</v>
      </c>
      <c r="G1513" s="5">
        <v>16.5</v>
      </c>
      <c r="H1513" s="5">
        <f t="shared" si="23"/>
        <v>33</v>
      </c>
    </row>
    <row r="1514" customFormat="1" hidden="1" spans="1:8">
      <c r="A1514" s="2">
        <v>46176</v>
      </c>
      <c r="B1514" s="3">
        <v>1608914</v>
      </c>
      <c r="C1514" s="3" t="s">
        <v>153</v>
      </c>
      <c r="D1514" s="4">
        <v>20318379</v>
      </c>
      <c r="E1514" s="3" t="s">
        <v>127</v>
      </c>
      <c r="F1514" s="4">
        <v>1</v>
      </c>
      <c r="G1514" s="5">
        <v>16.5</v>
      </c>
      <c r="H1514" s="5">
        <f t="shared" si="23"/>
        <v>16.5</v>
      </c>
    </row>
    <row r="1515" customFormat="1" hidden="1" spans="1:8">
      <c r="A1515" s="2">
        <v>46176</v>
      </c>
      <c r="B1515" s="3">
        <v>1608914</v>
      </c>
      <c r="C1515" s="3" t="s">
        <v>153</v>
      </c>
      <c r="D1515" s="4">
        <v>20318342</v>
      </c>
      <c r="E1515" s="3" t="s">
        <v>304</v>
      </c>
      <c r="F1515" s="4">
        <v>1</v>
      </c>
      <c r="G1515" s="5">
        <v>16.5</v>
      </c>
      <c r="H1515" s="5">
        <f t="shared" si="23"/>
        <v>16.5</v>
      </c>
    </row>
    <row r="1516" customFormat="1" hidden="1" spans="1:8">
      <c r="A1516" s="2">
        <v>46176</v>
      </c>
      <c r="B1516" s="3">
        <v>1608914</v>
      </c>
      <c r="C1516" s="3" t="s">
        <v>153</v>
      </c>
      <c r="D1516" s="4">
        <v>20318393</v>
      </c>
      <c r="E1516" s="3" t="s">
        <v>140</v>
      </c>
      <c r="F1516" s="4">
        <v>1</v>
      </c>
      <c r="G1516" s="5">
        <v>16.5</v>
      </c>
      <c r="H1516" s="5">
        <f t="shared" si="23"/>
        <v>16.5</v>
      </c>
    </row>
    <row r="1517" customFormat="1" hidden="1" spans="1:8">
      <c r="A1517" s="2">
        <v>46176</v>
      </c>
      <c r="B1517" s="3">
        <v>1608937</v>
      </c>
      <c r="C1517" s="3" t="s">
        <v>150</v>
      </c>
      <c r="D1517" s="4">
        <v>20318372</v>
      </c>
      <c r="E1517" s="3" t="s">
        <v>242</v>
      </c>
      <c r="F1517" s="4">
        <v>1</v>
      </c>
      <c r="G1517" s="5">
        <v>286</v>
      </c>
      <c r="H1517" s="5">
        <f t="shared" si="23"/>
        <v>286</v>
      </c>
    </row>
    <row r="1518" customFormat="1" hidden="1" spans="1:8">
      <c r="A1518" s="2">
        <v>46176</v>
      </c>
      <c r="B1518" s="3">
        <v>1608937</v>
      </c>
      <c r="C1518" s="3" t="s">
        <v>150</v>
      </c>
      <c r="D1518" s="4">
        <v>20312966</v>
      </c>
      <c r="E1518" s="3" t="s">
        <v>258</v>
      </c>
      <c r="F1518" s="4">
        <v>8</v>
      </c>
      <c r="G1518" s="5">
        <v>159.5</v>
      </c>
      <c r="H1518" s="5">
        <f t="shared" si="23"/>
        <v>1276</v>
      </c>
    </row>
    <row r="1519" customFormat="1" hidden="1" spans="1:8">
      <c r="A1519" s="2">
        <v>46176</v>
      </c>
      <c r="B1519" s="3">
        <v>1608937</v>
      </c>
      <c r="C1519" s="3" t="s">
        <v>150</v>
      </c>
      <c r="D1519" s="4">
        <v>20312965</v>
      </c>
      <c r="E1519" s="3" t="s">
        <v>112</v>
      </c>
      <c r="F1519" s="4">
        <v>2</v>
      </c>
      <c r="G1519" s="5">
        <v>137.5</v>
      </c>
      <c r="H1519" s="5">
        <f t="shared" si="23"/>
        <v>275</v>
      </c>
    </row>
    <row r="1520" customFormat="1" hidden="1" spans="1:8">
      <c r="A1520" s="2">
        <v>46176</v>
      </c>
      <c r="B1520" s="3">
        <v>1608937</v>
      </c>
      <c r="C1520" s="3" t="s">
        <v>150</v>
      </c>
      <c r="D1520" s="4">
        <v>20312967</v>
      </c>
      <c r="E1520" s="3" t="s">
        <v>289</v>
      </c>
      <c r="F1520" s="4">
        <v>6</v>
      </c>
      <c r="G1520" s="5">
        <v>176</v>
      </c>
      <c r="H1520" s="5">
        <f t="shared" si="23"/>
        <v>1056</v>
      </c>
    </row>
    <row r="1521" customFormat="1" hidden="1" spans="1:8">
      <c r="A1521" s="2">
        <v>46176</v>
      </c>
      <c r="B1521" s="3">
        <v>1608937</v>
      </c>
      <c r="C1521" s="3" t="s">
        <v>151</v>
      </c>
      <c r="D1521" s="4">
        <v>20424977</v>
      </c>
      <c r="E1521" s="3" t="s">
        <v>178</v>
      </c>
      <c r="F1521" s="4">
        <v>1</v>
      </c>
      <c r="G1521" s="5">
        <v>8</v>
      </c>
      <c r="H1521" s="5">
        <f t="shared" si="23"/>
        <v>8</v>
      </c>
    </row>
    <row r="1522" customFormat="1" hidden="1" spans="1:8">
      <c r="A1522" s="2">
        <v>46176</v>
      </c>
      <c r="B1522" s="3">
        <v>1608937</v>
      </c>
      <c r="C1522" s="3" t="s">
        <v>151</v>
      </c>
      <c r="D1522" s="4">
        <v>20366610</v>
      </c>
      <c r="E1522" s="3" t="s">
        <v>191</v>
      </c>
      <c r="F1522" s="4">
        <v>1</v>
      </c>
      <c r="G1522" s="5">
        <v>16.5</v>
      </c>
      <c r="H1522" s="5">
        <f t="shared" si="23"/>
        <v>16.5</v>
      </c>
    </row>
    <row r="1523" customFormat="1" hidden="1" spans="1:8">
      <c r="A1523" s="2">
        <v>46176</v>
      </c>
      <c r="B1523" s="3">
        <v>1608937</v>
      </c>
      <c r="C1523" s="3" t="s">
        <v>151</v>
      </c>
      <c r="D1523" s="4">
        <v>20410957</v>
      </c>
      <c r="E1523" s="3" t="s">
        <v>197</v>
      </c>
      <c r="F1523" s="4">
        <v>1</v>
      </c>
      <c r="G1523" s="5">
        <v>16.5</v>
      </c>
      <c r="H1523" s="5">
        <f t="shared" si="23"/>
        <v>16.5</v>
      </c>
    </row>
    <row r="1524" customFormat="1" hidden="1" spans="1:8">
      <c r="A1524" s="2">
        <v>46176</v>
      </c>
      <c r="B1524" s="3">
        <v>1608937</v>
      </c>
      <c r="C1524" s="3" t="s">
        <v>151</v>
      </c>
      <c r="D1524" s="4">
        <v>20407037</v>
      </c>
      <c r="E1524" s="3" t="s">
        <v>285</v>
      </c>
      <c r="F1524" s="4">
        <v>1</v>
      </c>
      <c r="G1524" s="5">
        <v>16.5</v>
      </c>
      <c r="H1524" s="5">
        <f t="shared" si="23"/>
        <v>16.5</v>
      </c>
    </row>
    <row r="1525" customFormat="1" hidden="1" spans="1:8">
      <c r="A1525" s="2">
        <v>46176</v>
      </c>
      <c r="B1525" s="3">
        <v>1608937</v>
      </c>
      <c r="C1525" s="3" t="s">
        <v>151</v>
      </c>
      <c r="D1525" s="4">
        <v>20318395</v>
      </c>
      <c r="E1525" s="3" t="s">
        <v>309</v>
      </c>
      <c r="F1525" s="4">
        <v>1</v>
      </c>
      <c r="G1525" s="5">
        <v>16.5</v>
      </c>
      <c r="H1525" s="5">
        <f t="shared" si="23"/>
        <v>16.5</v>
      </c>
    </row>
    <row r="1526" customFormat="1" hidden="1" spans="1:8">
      <c r="A1526" s="2">
        <v>46176</v>
      </c>
      <c r="B1526" s="3">
        <v>1608937</v>
      </c>
      <c r="C1526" s="3" t="s">
        <v>152</v>
      </c>
      <c r="D1526" s="4">
        <v>20366063</v>
      </c>
      <c r="E1526" s="3" t="s">
        <v>193</v>
      </c>
      <c r="F1526" s="4">
        <v>1</v>
      </c>
      <c r="G1526" s="5">
        <v>66</v>
      </c>
      <c r="H1526" s="5">
        <f t="shared" si="23"/>
        <v>66</v>
      </c>
    </row>
    <row r="1527" customFormat="1" hidden="1" spans="1:8">
      <c r="A1527" s="2">
        <v>46176</v>
      </c>
      <c r="B1527" s="3">
        <v>1608937</v>
      </c>
      <c r="C1527" s="3" t="s">
        <v>153</v>
      </c>
      <c r="D1527" s="4">
        <v>20318334</v>
      </c>
      <c r="E1527" s="3" t="s">
        <v>186</v>
      </c>
      <c r="F1527" s="4">
        <v>1</v>
      </c>
      <c r="G1527" s="5">
        <v>16.5</v>
      </c>
      <c r="H1527" s="5">
        <f t="shared" si="23"/>
        <v>16.5</v>
      </c>
    </row>
    <row r="1528" customFormat="1" hidden="1" spans="1:8">
      <c r="A1528" s="2">
        <v>46176</v>
      </c>
      <c r="B1528" s="3">
        <v>1608937</v>
      </c>
      <c r="C1528" s="3" t="s">
        <v>153</v>
      </c>
      <c r="D1528" s="4">
        <v>20318380</v>
      </c>
      <c r="E1528" s="3" t="s">
        <v>232</v>
      </c>
      <c r="F1528" s="4">
        <v>1</v>
      </c>
      <c r="G1528" s="5">
        <v>16.5</v>
      </c>
      <c r="H1528" s="5">
        <f t="shared" si="23"/>
        <v>16.5</v>
      </c>
    </row>
    <row r="1529" customFormat="1" hidden="1" spans="1:8">
      <c r="A1529" s="2">
        <v>46176</v>
      </c>
      <c r="B1529" s="3">
        <v>1608937</v>
      </c>
      <c r="C1529" s="3" t="s">
        <v>153</v>
      </c>
      <c r="D1529" s="4">
        <v>20318340</v>
      </c>
      <c r="E1529" s="3" t="s">
        <v>240</v>
      </c>
      <c r="F1529" s="4">
        <v>1</v>
      </c>
      <c r="G1529" s="5">
        <v>16.5</v>
      </c>
      <c r="H1529" s="5">
        <f t="shared" si="23"/>
        <v>16.5</v>
      </c>
    </row>
    <row r="1530" customFormat="1" hidden="1" spans="1:8">
      <c r="A1530" s="2">
        <v>46176</v>
      </c>
      <c r="B1530" s="3">
        <v>1608937</v>
      </c>
      <c r="C1530" s="3" t="s">
        <v>153</v>
      </c>
      <c r="D1530" s="4">
        <v>20321250</v>
      </c>
      <c r="E1530" s="3" t="s">
        <v>259</v>
      </c>
      <c r="F1530" s="4">
        <v>2</v>
      </c>
      <c r="G1530" s="5">
        <v>16.5</v>
      </c>
      <c r="H1530" s="5">
        <f t="shared" si="23"/>
        <v>33</v>
      </c>
    </row>
    <row r="1531" customFormat="1" hidden="1" spans="1:8">
      <c r="A1531" s="2">
        <v>46176</v>
      </c>
      <c r="B1531" s="3">
        <v>1608937</v>
      </c>
      <c r="C1531" s="3" t="s">
        <v>153</v>
      </c>
      <c r="D1531" s="4">
        <v>20340289</v>
      </c>
      <c r="E1531" s="3" t="s">
        <v>272</v>
      </c>
      <c r="F1531" s="4">
        <v>3</v>
      </c>
      <c r="G1531" s="5">
        <v>16.5</v>
      </c>
      <c r="H1531" s="5">
        <f t="shared" si="23"/>
        <v>49.5</v>
      </c>
    </row>
    <row r="1532" customFormat="1" hidden="1" spans="1:8">
      <c r="A1532" s="2">
        <v>46176</v>
      </c>
      <c r="B1532" s="3">
        <v>1608937</v>
      </c>
      <c r="C1532" s="3" t="s">
        <v>153</v>
      </c>
      <c r="D1532" s="4">
        <v>20318389</v>
      </c>
      <c r="E1532" s="3" t="s">
        <v>302</v>
      </c>
      <c r="F1532" s="4">
        <v>1</v>
      </c>
      <c r="G1532" s="5">
        <v>16.5</v>
      </c>
      <c r="H1532" s="5">
        <f t="shared" si="23"/>
        <v>16.5</v>
      </c>
    </row>
    <row r="1533" customFormat="1" hidden="1" spans="1:8">
      <c r="A1533" s="2">
        <v>46176</v>
      </c>
      <c r="B1533" s="3">
        <v>1608937</v>
      </c>
      <c r="C1533" s="3" t="s">
        <v>153</v>
      </c>
      <c r="D1533" s="4">
        <v>20318342</v>
      </c>
      <c r="E1533" s="3" t="s">
        <v>304</v>
      </c>
      <c r="F1533" s="4">
        <v>1</v>
      </c>
      <c r="G1533" s="5">
        <v>16.5</v>
      </c>
      <c r="H1533" s="5">
        <f t="shared" si="23"/>
        <v>16.5</v>
      </c>
    </row>
    <row r="1534" customFormat="1" hidden="1" spans="1:8">
      <c r="A1534" s="2">
        <v>46177</v>
      </c>
      <c r="B1534" s="3">
        <v>1609157</v>
      </c>
      <c r="C1534" s="3" t="s">
        <v>150</v>
      </c>
      <c r="D1534" s="4">
        <v>20312966</v>
      </c>
      <c r="E1534" s="3" t="s">
        <v>258</v>
      </c>
      <c r="F1534" s="4">
        <v>5</v>
      </c>
      <c r="G1534" s="5">
        <v>159.5</v>
      </c>
      <c r="H1534" s="5">
        <f t="shared" si="23"/>
        <v>797.5</v>
      </c>
    </row>
    <row r="1535" customFormat="1" hidden="1" spans="1:8">
      <c r="A1535" s="2">
        <v>46177</v>
      </c>
      <c r="B1535" s="3">
        <v>1609157</v>
      </c>
      <c r="C1535" s="3" t="s">
        <v>150</v>
      </c>
      <c r="D1535" s="4">
        <v>20312965</v>
      </c>
      <c r="E1535" s="3" t="s">
        <v>112</v>
      </c>
      <c r="F1535" s="4">
        <v>1</v>
      </c>
      <c r="G1535" s="5">
        <v>137.5</v>
      </c>
      <c r="H1535" s="5">
        <f t="shared" si="23"/>
        <v>137.5</v>
      </c>
    </row>
    <row r="1536" customFormat="1" hidden="1" spans="1:8">
      <c r="A1536" s="2">
        <v>46177</v>
      </c>
      <c r="B1536" s="3">
        <v>1609157</v>
      </c>
      <c r="C1536" s="3" t="s">
        <v>150</v>
      </c>
      <c r="D1536" s="4">
        <v>20312967</v>
      </c>
      <c r="E1536" s="3" t="s">
        <v>289</v>
      </c>
      <c r="F1536" s="4">
        <v>3</v>
      </c>
      <c r="G1536" s="5">
        <v>176</v>
      </c>
      <c r="H1536" s="5">
        <f t="shared" si="23"/>
        <v>528</v>
      </c>
    </row>
    <row r="1537" customFormat="1" hidden="1" spans="1:8">
      <c r="A1537" s="2">
        <v>46177</v>
      </c>
      <c r="B1537" s="3">
        <v>1609157</v>
      </c>
      <c r="C1537" s="3" t="s">
        <v>150</v>
      </c>
      <c r="D1537" s="4">
        <v>20424417</v>
      </c>
      <c r="E1537" s="3" t="s">
        <v>312</v>
      </c>
      <c r="F1537" s="4">
        <v>1</v>
      </c>
      <c r="G1537" s="5">
        <v>66</v>
      </c>
      <c r="H1537" s="5">
        <f t="shared" si="23"/>
        <v>66</v>
      </c>
    </row>
    <row r="1538" customFormat="1" hidden="1" spans="1:8">
      <c r="A1538" s="2">
        <v>46177</v>
      </c>
      <c r="B1538" s="3">
        <v>1609157</v>
      </c>
      <c r="C1538" s="3" t="s">
        <v>156</v>
      </c>
      <c r="D1538" s="4">
        <v>20322243</v>
      </c>
      <c r="E1538" s="3" t="s">
        <v>117</v>
      </c>
      <c r="F1538" s="4">
        <v>2</v>
      </c>
      <c r="G1538" s="5">
        <v>30</v>
      </c>
      <c r="H1538" s="5">
        <f t="shared" ref="H1538:H1601" si="24">G1538*F1538</f>
        <v>60</v>
      </c>
    </row>
    <row r="1539" customFormat="1" hidden="1" spans="1:8">
      <c r="A1539" s="2">
        <v>46177</v>
      </c>
      <c r="B1539" s="3">
        <v>1609157</v>
      </c>
      <c r="C1539" s="3" t="s">
        <v>156</v>
      </c>
      <c r="D1539" s="4">
        <v>20322304</v>
      </c>
      <c r="E1539" s="3" t="s">
        <v>275</v>
      </c>
      <c r="F1539" s="4">
        <v>8</v>
      </c>
      <c r="G1539" s="5">
        <v>25</v>
      </c>
      <c r="H1539" s="5">
        <f t="shared" si="24"/>
        <v>200</v>
      </c>
    </row>
    <row r="1540" customFormat="1" hidden="1" spans="1:8">
      <c r="A1540" s="2">
        <v>46177</v>
      </c>
      <c r="B1540" s="3">
        <v>1609157</v>
      </c>
      <c r="C1540" s="3" t="s">
        <v>156</v>
      </c>
      <c r="D1540" s="4">
        <v>20330757</v>
      </c>
      <c r="E1540" s="3" t="s">
        <v>288</v>
      </c>
      <c r="F1540" s="4">
        <v>7</v>
      </c>
      <c r="G1540" s="5">
        <v>35</v>
      </c>
      <c r="H1540" s="5">
        <f t="shared" si="24"/>
        <v>245</v>
      </c>
    </row>
    <row r="1541" customFormat="1" hidden="1" spans="1:8">
      <c r="A1541" s="2">
        <v>46177</v>
      </c>
      <c r="B1541" s="3">
        <v>1609157</v>
      </c>
      <c r="C1541" s="3" t="s">
        <v>153</v>
      </c>
      <c r="D1541" s="4">
        <v>20321257</v>
      </c>
      <c r="E1541" s="3" t="s">
        <v>68</v>
      </c>
      <c r="F1541" s="4">
        <v>3</v>
      </c>
      <c r="G1541" s="5">
        <v>16.5</v>
      </c>
      <c r="H1541" s="5">
        <f t="shared" si="24"/>
        <v>49.5</v>
      </c>
    </row>
    <row r="1542" customFormat="1" hidden="1" spans="1:8">
      <c r="A1542" s="2">
        <v>46177</v>
      </c>
      <c r="B1542" s="3">
        <v>1609157</v>
      </c>
      <c r="C1542" s="3" t="s">
        <v>153</v>
      </c>
      <c r="D1542" s="4">
        <v>20318340</v>
      </c>
      <c r="E1542" s="3" t="s">
        <v>240</v>
      </c>
      <c r="F1542" s="4">
        <v>2</v>
      </c>
      <c r="G1542" s="5">
        <v>16.5</v>
      </c>
      <c r="H1542" s="5">
        <f t="shared" si="24"/>
        <v>33</v>
      </c>
    </row>
    <row r="1543" customFormat="1" hidden="1" spans="1:8">
      <c r="A1543" s="2">
        <v>46177</v>
      </c>
      <c r="B1543" s="3">
        <v>1609157</v>
      </c>
      <c r="C1543" s="3" t="s">
        <v>153</v>
      </c>
      <c r="D1543" s="4">
        <v>20374808</v>
      </c>
      <c r="E1543" s="3" t="s">
        <v>253</v>
      </c>
      <c r="F1543" s="4">
        <v>1</v>
      </c>
      <c r="G1543" s="5">
        <v>16.5</v>
      </c>
      <c r="H1543" s="5">
        <f t="shared" si="24"/>
        <v>16.5</v>
      </c>
    </row>
    <row r="1544" customFormat="1" hidden="1" spans="1:8">
      <c r="A1544" s="2">
        <v>46177</v>
      </c>
      <c r="B1544" s="3">
        <v>1609157</v>
      </c>
      <c r="C1544" s="3" t="s">
        <v>153</v>
      </c>
      <c r="D1544" s="4">
        <v>20321250</v>
      </c>
      <c r="E1544" s="3" t="s">
        <v>259</v>
      </c>
      <c r="F1544" s="4">
        <v>1</v>
      </c>
      <c r="G1544" s="5">
        <v>16.5</v>
      </c>
      <c r="H1544" s="5">
        <f t="shared" si="24"/>
        <v>16.5</v>
      </c>
    </row>
    <row r="1545" customFormat="1" hidden="1" spans="1:8">
      <c r="A1545" s="2">
        <v>46177</v>
      </c>
      <c r="B1545" s="3">
        <v>1609157</v>
      </c>
      <c r="C1545" s="3" t="s">
        <v>153</v>
      </c>
      <c r="D1545" s="4">
        <v>20340289</v>
      </c>
      <c r="E1545" s="3" t="s">
        <v>272</v>
      </c>
      <c r="F1545" s="4">
        <v>1</v>
      </c>
      <c r="G1545" s="5">
        <v>16.5</v>
      </c>
      <c r="H1545" s="5">
        <f t="shared" si="24"/>
        <v>16.5</v>
      </c>
    </row>
    <row r="1546" customFormat="1" hidden="1" spans="1:8">
      <c r="A1546" s="2">
        <v>46177</v>
      </c>
      <c r="B1546" s="3">
        <v>1609183</v>
      </c>
      <c r="C1546" s="3" t="s">
        <v>150</v>
      </c>
      <c r="D1546" s="4">
        <v>20312966</v>
      </c>
      <c r="E1546" s="3" t="s">
        <v>258</v>
      </c>
      <c r="F1546" s="4">
        <v>1</v>
      </c>
      <c r="G1546" s="5">
        <v>159.5</v>
      </c>
      <c r="H1546" s="5">
        <f t="shared" si="24"/>
        <v>159.5</v>
      </c>
    </row>
    <row r="1547" customFormat="1" hidden="1" spans="1:8">
      <c r="A1547" s="2">
        <v>46177</v>
      </c>
      <c r="B1547" s="3">
        <v>1609183</v>
      </c>
      <c r="C1547" s="3" t="s">
        <v>150</v>
      </c>
      <c r="D1547" s="4">
        <v>20312965</v>
      </c>
      <c r="E1547" s="3" t="s">
        <v>112</v>
      </c>
      <c r="F1547" s="4">
        <v>4</v>
      </c>
      <c r="G1547" s="5">
        <v>137.5</v>
      </c>
      <c r="H1547" s="5">
        <f t="shared" si="24"/>
        <v>550</v>
      </c>
    </row>
    <row r="1548" customFormat="1" hidden="1" spans="1:8">
      <c r="A1548" s="2">
        <v>46177</v>
      </c>
      <c r="B1548" s="3">
        <v>1609183</v>
      </c>
      <c r="C1548" s="3" t="s">
        <v>150</v>
      </c>
      <c r="D1548" s="4">
        <v>20312967</v>
      </c>
      <c r="E1548" s="3" t="s">
        <v>289</v>
      </c>
      <c r="F1548" s="4">
        <v>6</v>
      </c>
      <c r="G1548" s="5">
        <v>176</v>
      </c>
      <c r="H1548" s="5">
        <f t="shared" si="24"/>
        <v>1056</v>
      </c>
    </row>
    <row r="1549" customFormat="1" hidden="1" spans="1:8">
      <c r="A1549" s="2">
        <v>46177</v>
      </c>
      <c r="B1549" s="3">
        <v>1609183</v>
      </c>
      <c r="C1549" s="3" t="s">
        <v>150</v>
      </c>
      <c r="D1549" s="4">
        <v>20321251</v>
      </c>
      <c r="E1549" s="3" t="s">
        <v>311</v>
      </c>
      <c r="F1549" s="4">
        <v>1</v>
      </c>
      <c r="G1549" s="5">
        <v>187</v>
      </c>
      <c r="H1549" s="5">
        <f t="shared" si="24"/>
        <v>187</v>
      </c>
    </row>
    <row r="1550" customFormat="1" hidden="1" spans="1:8">
      <c r="A1550" s="2">
        <v>46177</v>
      </c>
      <c r="B1550" s="3">
        <v>1609183</v>
      </c>
      <c r="C1550" s="3" t="s">
        <v>151</v>
      </c>
      <c r="D1550" s="4">
        <v>20372528</v>
      </c>
      <c r="E1550" s="3" t="s">
        <v>159</v>
      </c>
      <c r="F1550" s="4">
        <v>1</v>
      </c>
      <c r="G1550" s="5">
        <v>16.5</v>
      </c>
      <c r="H1550" s="5">
        <f t="shared" si="24"/>
        <v>16.5</v>
      </c>
    </row>
    <row r="1551" customFormat="1" hidden="1" spans="1:8">
      <c r="A1551" s="2">
        <v>46177</v>
      </c>
      <c r="B1551" s="3">
        <v>1609183</v>
      </c>
      <c r="C1551" s="3" t="s">
        <v>151</v>
      </c>
      <c r="D1551" s="4">
        <v>20424977</v>
      </c>
      <c r="E1551" s="3" t="s">
        <v>178</v>
      </c>
      <c r="F1551" s="4">
        <v>1</v>
      </c>
      <c r="G1551" s="5">
        <v>8</v>
      </c>
      <c r="H1551" s="5">
        <f t="shared" si="24"/>
        <v>8</v>
      </c>
    </row>
    <row r="1552" customFormat="1" hidden="1" spans="1:8">
      <c r="A1552" s="2">
        <v>46177</v>
      </c>
      <c r="B1552" s="3">
        <v>1609183</v>
      </c>
      <c r="C1552" s="3" t="s">
        <v>151</v>
      </c>
      <c r="D1552" s="4">
        <v>20318395</v>
      </c>
      <c r="E1552" s="3" t="s">
        <v>309</v>
      </c>
      <c r="F1552" s="4">
        <v>1</v>
      </c>
      <c r="G1552" s="5">
        <v>16.5</v>
      </c>
      <c r="H1552" s="5">
        <f t="shared" si="24"/>
        <v>16.5</v>
      </c>
    </row>
    <row r="1553" customFormat="1" hidden="1" spans="1:8">
      <c r="A1553" s="2">
        <v>46177</v>
      </c>
      <c r="B1553" s="3">
        <v>1609183</v>
      </c>
      <c r="C1553" s="3" t="s">
        <v>152</v>
      </c>
      <c r="D1553" s="4">
        <v>20366064</v>
      </c>
      <c r="E1553" s="3" t="s">
        <v>195</v>
      </c>
      <c r="F1553" s="4">
        <v>1</v>
      </c>
      <c r="G1553" s="5">
        <v>71.5</v>
      </c>
      <c r="H1553" s="5">
        <f t="shared" si="24"/>
        <v>71.5</v>
      </c>
    </row>
    <row r="1554" customFormat="1" hidden="1" spans="1:8">
      <c r="A1554" s="2">
        <v>46177</v>
      </c>
      <c r="B1554" s="3">
        <v>1609183</v>
      </c>
      <c r="C1554" s="3" t="s">
        <v>153</v>
      </c>
      <c r="D1554" s="4">
        <v>20373876</v>
      </c>
      <c r="E1554" s="3" t="s">
        <v>166</v>
      </c>
      <c r="F1554" s="4">
        <v>1</v>
      </c>
      <c r="G1554" s="5">
        <v>16.5</v>
      </c>
      <c r="H1554" s="5">
        <f t="shared" si="24"/>
        <v>16.5</v>
      </c>
    </row>
    <row r="1555" customFormat="1" hidden="1" spans="1:8">
      <c r="A1555" s="2">
        <v>46177</v>
      </c>
      <c r="B1555" s="3">
        <v>1609183</v>
      </c>
      <c r="C1555" s="3" t="s">
        <v>153</v>
      </c>
      <c r="D1555" s="4">
        <v>20321257</v>
      </c>
      <c r="E1555" s="3" t="s">
        <v>68</v>
      </c>
      <c r="F1555" s="4">
        <v>11</v>
      </c>
      <c r="G1555" s="5">
        <v>16.5</v>
      </c>
      <c r="H1555" s="5">
        <f t="shared" si="24"/>
        <v>181.5</v>
      </c>
    </row>
    <row r="1556" customFormat="1" hidden="1" spans="1:8">
      <c r="A1556" s="2">
        <v>46177</v>
      </c>
      <c r="B1556" s="3">
        <v>1609183</v>
      </c>
      <c r="C1556" s="3" t="s">
        <v>153</v>
      </c>
      <c r="D1556" s="4">
        <v>20014824</v>
      </c>
      <c r="E1556" s="3" t="s">
        <v>85</v>
      </c>
      <c r="F1556" s="4">
        <v>1</v>
      </c>
      <c r="G1556" s="5">
        <v>16.5</v>
      </c>
      <c r="H1556" s="5">
        <f t="shared" si="24"/>
        <v>16.5</v>
      </c>
    </row>
    <row r="1557" customFormat="1" hidden="1" spans="1:8">
      <c r="A1557" s="2">
        <v>46177</v>
      </c>
      <c r="B1557" s="3">
        <v>1609183</v>
      </c>
      <c r="C1557" s="3" t="s">
        <v>153</v>
      </c>
      <c r="D1557" s="4">
        <v>20318378</v>
      </c>
      <c r="E1557" s="3" t="s">
        <v>231</v>
      </c>
      <c r="F1557" s="4">
        <v>4</v>
      </c>
      <c r="G1557" s="5">
        <v>16.5</v>
      </c>
      <c r="H1557" s="5">
        <f t="shared" si="24"/>
        <v>66</v>
      </c>
    </row>
    <row r="1558" customFormat="1" hidden="1" spans="1:8">
      <c r="A1558" s="2">
        <v>46177</v>
      </c>
      <c r="B1558" s="3">
        <v>1609183</v>
      </c>
      <c r="C1558" s="3" t="s">
        <v>153</v>
      </c>
      <c r="D1558" s="4">
        <v>20321604</v>
      </c>
      <c r="E1558" s="3" t="s">
        <v>233</v>
      </c>
      <c r="F1558" s="4">
        <v>1</v>
      </c>
      <c r="G1558" s="5">
        <v>16.5</v>
      </c>
      <c r="H1558" s="5">
        <f t="shared" si="24"/>
        <v>16.5</v>
      </c>
    </row>
    <row r="1559" customFormat="1" hidden="1" spans="1:8">
      <c r="A1559" s="2">
        <v>46177</v>
      </c>
      <c r="B1559" s="3">
        <v>1609183</v>
      </c>
      <c r="C1559" s="3" t="s">
        <v>153</v>
      </c>
      <c r="D1559" s="4">
        <v>20318340</v>
      </c>
      <c r="E1559" s="3" t="s">
        <v>240</v>
      </c>
      <c r="F1559" s="4">
        <v>1</v>
      </c>
      <c r="G1559" s="5">
        <v>16.5</v>
      </c>
      <c r="H1559" s="5">
        <f t="shared" si="24"/>
        <v>16.5</v>
      </c>
    </row>
    <row r="1560" customFormat="1" hidden="1" spans="1:8">
      <c r="A1560" s="2">
        <v>46177</v>
      </c>
      <c r="B1560" s="3">
        <v>1609183</v>
      </c>
      <c r="C1560" s="3" t="s">
        <v>153</v>
      </c>
      <c r="D1560" s="4">
        <v>20321250</v>
      </c>
      <c r="E1560" s="3" t="s">
        <v>259</v>
      </c>
      <c r="F1560" s="4">
        <v>1</v>
      </c>
      <c r="G1560" s="5">
        <v>16.5</v>
      </c>
      <c r="H1560" s="5">
        <f t="shared" si="24"/>
        <v>16.5</v>
      </c>
    </row>
    <row r="1561" customFormat="1" hidden="1" spans="1:8">
      <c r="A1561" s="2">
        <v>46177</v>
      </c>
      <c r="B1561" s="3">
        <v>1609183</v>
      </c>
      <c r="C1561" s="3" t="s">
        <v>153</v>
      </c>
      <c r="D1561" s="4">
        <v>20340289</v>
      </c>
      <c r="E1561" s="3" t="s">
        <v>272</v>
      </c>
      <c r="F1561" s="4">
        <v>1</v>
      </c>
      <c r="G1561" s="5">
        <v>16.5</v>
      </c>
      <c r="H1561" s="5">
        <f t="shared" si="24"/>
        <v>16.5</v>
      </c>
    </row>
    <row r="1562" customFormat="1" hidden="1" spans="1:8">
      <c r="A1562" s="2">
        <v>46177</v>
      </c>
      <c r="B1562" s="3">
        <v>1609183</v>
      </c>
      <c r="C1562" s="3" t="s">
        <v>153</v>
      </c>
      <c r="D1562" s="4">
        <v>20383164</v>
      </c>
      <c r="E1562" s="3" t="s">
        <v>273</v>
      </c>
      <c r="F1562" s="4">
        <v>1</v>
      </c>
      <c r="G1562" s="5">
        <v>22</v>
      </c>
      <c r="H1562" s="5">
        <f t="shared" si="24"/>
        <v>22</v>
      </c>
    </row>
    <row r="1563" customFormat="1" hidden="1" spans="1:8">
      <c r="A1563" s="2">
        <v>46177</v>
      </c>
      <c r="B1563" s="3">
        <v>1609183</v>
      </c>
      <c r="C1563" s="3" t="s">
        <v>153</v>
      </c>
      <c r="D1563" s="4">
        <v>20318342</v>
      </c>
      <c r="E1563" s="3" t="s">
        <v>304</v>
      </c>
      <c r="F1563" s="4">
        <v>1</v>
      </c>
      <c r="G1563" s="5">
        <v>16.5</v>
      </c>
      <c r="H1563" s="5">
        <f t="shared" si="24"/>
        <v>16.5</v>
      </c>
    </row>
    <row r="1564" customFormat="1" hidden="1" spans="1:8">
      <c r="A1564" s="2">
        <v>46177</v>
      </c>
      <c r="B1564" s="3">
        <v>1609215</v>
      </c>
      <c r="C1564" s="3" t="s">
        <v>150</v>
      </c>
      <c r="D1564" s="4">
        <v>20312966</v>
      </c>
      <c r="E1564" s="3" t="s">
        <v>258</v>
      </c>
      <c r="F1564" s="4">
        <v>1</v>
      </c>
      <c r="G1564" s="5">
        <v>159.5</v>
      </c>
      <c r="H1564" s="5">
        <f t="shared" si="24"/>
        <v>159.5</v>
      </c>
    </row>
    <row r="1565" customFormat="1" hidden="1" spans="1:8">
      <c r="A1565" s="2">
        <v>46177</v>
      </c>
      <c r="B1565" s="3">
        <v>1609215</v>
      </c>
      <c r="C1565" s="3" t="s">
        <v>150</v>
      </c>
      <c r="D1565" s="4">
        <v>20424417</v>
      </c>
      <c r="E1565" s="3" t="s">
        <v>312</v>
      </c>
      <c r="F1565" s="4">
        <v>1</v>
      </c>
      <c r="G1565" s="5">
        <v>66</v>
      </c>
      <c r="H1565" s="5">
        <f t="shared" si="24"/>
        <v>66</v>
      </c>
    </row>
    <row r="1566" customFormat="1" hidden="1" spans="1:8">
      <c r="A1566" s="2">
        <v>46177</v>
      </c>
      <c r="B1566" s="3">
        <v>1609244</v>
      </c>
      <c r="C1566" s="3" t="s">
        <v>150</v>
      </c>
      <c r="D1566" s="4">
        <v>20312966</v>
      </c>
      <c r="E1566" s="3" t="s">
        <v>258</v>
      </c>
      <c r="F1566" s="4">
        <v>4</v>
      </c>
      <c r="G1566" s="5">
        <v>159.5</v>
      </c>
      <c r="H1566" s="5">
        <f t="shared" si="24"/>
        <v>638</v>
      </c>
    </row>
    <row r="1567" customFormat="1" hidden="1" spans="1:8">
      <c r="A1567" s="2">
        <v>46177</v>
      </c>
      <c r="B1567" s="3">
        <v>1609244</v>
      </c>
      <c r="C1567" s="3" t="s">
        <v>150</v>
      </c>
      <c r="D1567" s="4">
        <v>20312965</v>
      </c>
      <c r="E1567" s="3" t="s">
        <v>112</v>
      </c>
      <c r="F1567" s="4">
        <v>2</v>
      </c>
      <c r="G1567" s="5">
        <v>137.5</v>
      </c>
      <c r="H1567" s="5">
        <f t="shared" si="24"/>
        <v>275</v>
      </c>
    </row>
    <row r="1568" customFormat="1" hidden="1" spans="1:8">
      <c r="A1568" s="2">
        <v>46177</v>
      </c>
      <c r="B1568" s="3">
        <v>1609244</v>
      </c>
      <c r="C1568" s="3" t="s">
        <v>150</v>
      </c>
      <c r="D1568" s="4">
        <v>20312967</v>
      </c>
      <c r="E1568" s="3" t="s">
        <v>289</v>
      </c>
      <c r="F1568" s="4">
        <v>5</v>
      </c>
      <c r="G1568" s="5">
        <v>176</v>
      </c>
      <c r="H1568" s="5">
        <f t="shared" si="24"/>
        <v>880</v>
      </c>
    </row>
    <row r="1569" customFormat="1" hidden="1" spans="1:8">
      <c r="A1569" s="2">
        <v>46177</v>
      </c>
      <c r="B1569" s="3">
        <v>1609244</v>
      </c>
      <c r="C1569" s="3" t="s">
        <v>153</v>
      </c>
      <c r="D1569" s="4">
        <v>20318334</v>
      </c>
      <c r="E1569" s="3" t="s">
        <v>186</v>
      </c>
      <c r="F1569" s="4">
        <v>1</v>
      </c>
      <c r="G1569" s="5">
        <v>16.5</v>
      </c>
      <c r="H1569" s="5">
        <f t="shared" si="24"/>
        <v>16.5</v>
      </c>
    </row>
    <row r="1570" customFormat="1" hidden="1" spans="1:8">
      <c r="A1570" s="2">
        <v>46177</v>
      </c>
      <c r="B1570" s="3">
        <v>1609244</v>
      </c>
      <c r="C1570" s="3" t="s">
        <v>153</v>
      </c>
      <c r="D1570" s="4">
        <v>20318378</v>
      </c>
      <c r="E1570" s="3" t="s">
        <v>231</v>
      </c>
      <c r="F1570" s="4">
        <v>3</v>
      </c>
      <c r="G1570" s="5">
        <v>16.5</v>
      </c>
      <c r="H1570" s="5">
        <f t="shared" si="24"/>
        <v>49.5</v>
      </c>
    </row>
    <row r="1571" customFormat="1" hidden="1" spans="1:8">
      <c r="A1571" s="2">
        <v>46177</v>
      </c>
      <c r="B1571" s="3">
        <v>1609244</v>
      </c>
      <c r="C1571" s="3" t="s">
        <v>153</v>
      </c>
      <c r="D1571" s="4">
        <v>20318380</v>
      </c>
      <c r="E1571" s="3" t="s">
        <v>232</v>
      </c>
      <c r="F1571" s="4">
        <v>1</v>
      </c>
      <c r="G1571" s="5">
        <v>16.5</v>
      </c>
      <c r="H1571" s="5">
        <f t="shared" si="24"/>
        <v>16.5</v>
      </c>
    </row>
    <row r="1572" customFormat="1" hidden="1" spans="1:8">
      <c r="A1572" s="2">
        <v>46177</v>
      </c>
      <c r="B1572" s="3">
        <v>1609244</v>
      </c>
      <c r="C1572" s="3" t="s">
        <v>153</v>
      </c>
      <c r="D1572" s="4">
        <v>20318340</v>
      </c>
      <c r="E1572" s="3" t="s">
        <v>240</v>
      </c>
      <c r="F1572" s="4">
        <v>1</v>
      </c>
      <c r="G1572" s="5">
        <v>16.5</v>
      </c>
      <c r="H1572" s="5">
        <f t="shared" si="24"/>
        <v>16.5</v>
      </c>
    </row>
    <row r="1573" customFormat="1" hidden="1" spans="1:8">
      <c r="A1573" s="2">
        <v>46177</v>
      </c>
      <c r="B1573" s="3">
        <v>1609244</v>
      </c>
      <c r="C1573" s="3" t="s">
        <v>153</v>
      </c>
      <c r="D1573" s="4">
        <v>20383164</v>
      </c>
      <c r="E1573" s="3" t="s">
        <v>273</v>
      </c>
      <c r="F1573" s="4">
        <v>2</v>
      </c>
      <c r="G1573" s="5">
        <v>22</v>
      </c>
      <c r="H1573" s="5">
        <f t="shared" si="24"/>
        <v>44</v>
      </c>
    </row>
    <row r="1574" customFormat="1" hidden="1" spans="1:8">
      <c r="A1574" s="2">
        <v>46177</v>
      </c>
      <c r="B1574" s="3">
        <v>1609244</v>
      </c>
      <c r="C1574" s="3" t="s">
        <v>153</v>
      </c>
      <c r="D1574" s="4">
        <v>20318336</v>
      </c>
      <c r="E1574" s="3" t="s">
        <v>303</v>
      </c>
      <c r="F1574" s="4">
        <v>1</v>
      </c>
      <c r="G1574" s="5">
        <v>16.5</v>
      </c>
      <c r="H1574" s="5">
        <f t="shared" si="24"/>
        <v>16.5</v>
      </c>
    </row>
    <row r="1575" customFormat="1" hidden="1" spans="1:8">
      <c r="A1575" s="2">
        <v>46177</v>
      </c>
      <c r="B1575" s="3">
        <v>1609244</v>
      </c>
      <c r="C1575" s="3" t="s">
        <v>153</v>
      </c>
      <c r="D1575" s="4">
        <v>20318342</v>
      </c>
      <c r="E1575" s="3" t="s">
        <v>304</v>
      </c>
      <c r="F1575" s="4">
        <v>1</v>
      </c>
      <c r="G1575" s="5">
        <v>16.5</v>
      </c>
      <c r="H1575" s="5">
        <f t="shared" si="24"/>
        <v>16.5</v>
      </c>
    </row>
    <row r="1576" customFormat="1" hidden="1" spans="1:8">
      <c r="A1576" s="2">
        <v>46177</v>
      </c>
      <c r="B1576" s="3">
        <v>1609244</v>
      </c>
      <c r="C1576" s="3" t="s">
        <v>153</v>
      </c>
      <c r="D1576" s="4">
        <v>20318393</v>
      </c>
      <c r="E1576" s="3" t="s">
        <v>140</v>
      </c>
      <c r="F1576" s="4">
        <v>1</v>
      </c>
      <c r="G1576" s="5">
        <v>16.5</v>
      </c>
      <c r="H1576" s="5">
        <f t="shared" si="24"/>
        <v>16.5</v>
      </c>
    </row>
    <row r="1577" customFormat="1" hidden="1" spans="1:8">
      <c r="A1577" s="2">
        <v>46177</v>
      </c>
      <c r="B1577" s="3">
        <v>1609264</v>
      </c>
      <c r="C1577" s="3" t="s">
        <v>152</v>
      </c>
      <c r="D1577" s="4">
        <v>20366065</v>
      </c>
      <c r="E1577" s="3" t="s">
        <v>196</v>
      </c>
      <c r="F1577" s="4">
        <v>1</v>
      </c>
      <c r="G1577" s="5">
        <v>71.5</v>
      </c>
      <c r="H1577" s="5">
        <f t="shared" si="24"/>
        <v>71.5</v>
      </c>
    </row>
    <row r="1578" customFormat="1" hidden="1" spans="1:8">
      <c r="A1578" s="6">
        <v>46177</v>
      </c>
      <c r="B1578" s="7">
        <v>1609267</v>
      </c>
      <c r="C1578" s="7" t="s">
        <v>319</v>
      </c>
      <c r="D1578" s="8">
        <v>20428527</v>
      </c>
      <c r="E1578" s="7" t="s">
        <v>182</v>
      </c>
      <c r="F1578" s="8">
        <v>1</v>
      </c>
      <c r="G1578" s="9">
        <v>88</v>
      </c>
      <c r="H1578" s="9">
        <f t="shared" si="24"/>
        <v>88</v>
      </c>
    </row>
    <row r="1579" customFormat="1" hidden="1" spans="1:8">
      <c r="A1579" s="2">
        <v>46177</v>
      </c>
      <c r="B1579" s="3">
        <v>1609293</v>
      </c>
      <c r="C1579" s="3" t="s">
        <v>150</v>
      </c>
      <c r="D1579" s="4">
        <v>20321918</v>
      </c>
      <c r="E1579" s="3" t="s">
        <v>175</v>
      </c>
      <c r="F1579" s="4">
        <v>1</v>
      </c>
      <c r="G1579" s="5">
        <v>49.5</v>
      </c>
      <c r="H1579" s="5">
        <f t="shared" si="24"/>
        <v>49.5</v>
      </c>
    </row>
    <row r="1580" customFormat="1" hidden="1" spans="1:8">
      <c r="A1580" s="2">
        <v>46177</v>
      </c>
      <c r="B1580" s="3">
        <v>1609293</v>
      </c>
      <c r="C1580" s="3" t="s">
        <v>150</v>
      </c>
      <c r="D1580" s="4">
        <v>20428523</v>
      </c>
      <c r="E1580" s="3" t="s">
        <v>180</v>
      </c>
      <c r="F1580" s="4">
        <v>1</v>
      </c>
      <c r="G1580" s="5">
        <v>38.5</v>
      </c>
      <c r="H1580" s="5">
        <f t="shared" si="24"/>
        <v>38.5</v>
      </c>
    </row>
    <row r="1581" customFormat="1" hidden="1" spans="1:8">
      <c r="A1581" s="2">
        <v>46177</v>
      </c>
      <c r="B1581" s="3">
        <v>1609293</v>
      </c>
      <c r="C1581" s="3" t="s">
        <v>150</v>
      </c>
      <c r="D1581" s="4">
        <v>20428525</v>
      </c>
      <c r="E1581" s="3" t="s">
        <v>183</v>
      </c>
      <c r="F1581" s="4">
        <v>1</v>
      </c>
      <c r="G1581" s="5">
        <v>44</v>
      </c>
      <c r="H1581" s="5">
        <f t="shared" si="24"/>
        <v>44</v>
      </c>
    </row>
    <row r="1582" customFormat="1" hidden="1" spans="1:8">
      <c r="A1582" s="2">
        <v>46177</v>
      </c>
      <c r="B1582" s="3">
        <v>1609293</v>
      </c>
      <c r="C1582" s="3" t="s">
        <v>150</v>
      </c>
      <c r="D1582" s="4">
        <v>20318353</v>
      </c>
      <c r="E1582" s="3" t="s">
        <v>235</v>
      </c>
      <c r="F1582" s="4">
        <v>1</v>
      </c>
      <c r="G1582" s="5">
        <v>66</v>
      </c>
      <c r="H1582" s="5">
        <f t="shared" si="24"/>
        <v>66</v>
      </c>
    </row>
    <row r="1583" customFormat="1" hidden="1" spans="1:8">
      <c r="A1583" s="2">
        <v>46177</v>
      </c>
      <c r="B1583" s="3">
        <v>1609293</v>
      </c>
      <c r="C1583" s="3" t="s">
        <v>150</v>
      </c>
      <c r="D1583" s="4">
        <v>20312966</v>
      </c>
      <c r="E1583" s="3" t="s">
        <v>258</v>
      </c>
      <c r="F1583" s="4">
        <v>3</v>
      </c>
      <c r="G1583" s="5">
        <v>159.5</v>
      </c>
      <c r="H1583" s="5">
        <f t="shared" si="24"/>
        <v>478.5</v>
      </c>
    </row>
    <row r="1584" customFormat="1" hidden="1" spans="1:8">
      <c r="A1584" s="2">
        <v>46177</v>
      </c>
      <c r="B1584" s="3">
        <v>1609293</v>
      </c>
      <c r="C1584" s="3" t="s">
        <v>150</v>
      </c>
      <c r="D1584" s="4">
        <v>20327195</v>
      </c>
      <c r="E1584" s="3" t="s">
        <v>268</v>
      </c>
      <c r="F1584" s="4">
        <v>1</v>
      </c>
      <c r="G1584" s="5">
        <v>44</v>
      </c>
      <c r="H1584" s="5">
        <f t="shared" si="24"/>
        <v>44</v>
      </c>
    </row>
    <row r="1585" customFormat="1" hidden="1" spans="1:8">
      <c r="A1585" s="2">
        <v>46177</v>
      </c>
      <c r="B1585" s="3">
        <v>1609293</v>
      </c>
      <c r="C1585" s="3" t="s">
        <v>150</v>
      </c>
      <c r="D1585" s="4">
        <v>20312965</v>
      </c>
      <c r="E1585" s="3" t="s">
        <v>112</v>
      </c>
      <c r="F1585" s="4">
        <v>3</v>
      </c>
      <c r="G1585" s="5">
        <v>137.5</v>
      </c>
      <c r="H1585" s="5">
        <f t="shared" si="24"/>
        <v>412.5</v>
      </c>
    </row>
    <row r="1586" customFormat="1" hidden="1" spans="1:8">
      <c r="A1586" s="2">
        <v>46177</v>
      </c>
      <c r="B1586" s="3">
        <v>1609293</v>
      </c>
      <c r="C1586" s="3" t="s">
        <v>150</v>
      </c>
      <c r="D1586" s="4">
        <v>20312968</v>
      </c>
      <c r="E1586" s="3" t="s">
        <v>276</v>
      </c>
      <c r="F1586" s="4">
        <v>1</v>
      </c>
      <c r="G1586" s="5">
        <v>187</v>
      </c>
      <c r="H1586" s="5">
        <f t="shared" si="24"/>
        <v>187</v>
      </c>
    </row>
    <row r="1587" customFormat="1" hidden="1" spans="1:8">
      <c r="A1587" s="2">
        <v>46177</v>
      </c>
      <c r="B1587" s="3">
        <v>1609293</v>
      </c>
      <c r="C1587" s="3" t="s">
        <v>150</v>
      </c>
      <c r="D1587" s="4">
        <v>20312967</v>
      </c>
      <c r="E1587" s="3" t="s">
        <v>289</v>
      </c>
      <c r="F1587" s="4">
        <v>5</v>
      </c>
      <c r="G1587" s="5">
        <v>176</v>
      </c>
      <c r="H1587" s="5">
        <f t="shared" si="24"/>
        <v>880</v>
      </c>
    </row>
    <row r="1588" customFormat="1" ht="25.5" hidden="1" spans="1:8">
      <c r="A1588" s="2">
        <v>46177</v>
      </c>
      <c r="B1588" s="3">
        <v>1609293</v>
      </c>
      <c r="C1588" s="3" t="s">
        <v>154</v>
      </c>
      <c r="D1588" s="4">
        <v>20326338</v>
      </c>
      <c r="E1588" s="3" t="s">
        <v>269</v>
      </c>
      <c r="F1588" s="4">
        <v>1</v>
      </c>
      <c r="G1588" s="5">
        <v>55</v>
      </c>
      <c r="H1588" s="5">
        <f t="shared" si="24"/>
        <v>55</v>
      </c>
    </row>
    <row r="1589" customFormat="1" hidden="1" spans="1:8">
      <c r="A1589" s="2">
        <v>46177</v>
      </c>
      <c r="B1589" s="3">
        <v>1609293</v>
      </c>
      <c r="C1589" s="3" t="s">
        <v>151</v>
      </c>
      <c r="D1589" s="4">
        <v>20410156</v>
      </c>
      <c r="E1589" s="3" t="s">
        <v>192</v>
      </c>
      <c r="F1589" s="4">
        <v>1</v>
      </c>
      <c r="G1589" s="5">
        <v>16.5</v>
      </c>
      <c r="H1589" s="5">
        <f t="shared" si="24"/>
        <v>16.5</v>
      </c>
    </row>
    <row r="1590" customFormat="1" hidden="1" spans="1:8">
      <c r="A1590" s="2">
        <v>46177</v>
      </c>
      <c r="B1590" s="3">
        <v>1609293</v>
      </c>
      <c r="C1590" s="3" t="s">
        <v>156</v>
      </c>
      <c r="D1590" s="4">
        <v>20322235</v>
      </c>
      <c r="E1590" s="3" t="s">
        <v>111</v>
      </c>
      <c r="F1590" s="4">
        <v>18</v>
      </c>
      <c r="G1590" s="5">
        <v>2.5</v>
      </c>
      <c r="H1590" s="5">
        <f t="shared" si="24"/>
        <v>45</v>
      </c>
    </row>
    <row r="1591" customFormat="1" hidden="1" spans="1:8">
      <c r="A1591" s="2">
        <v>46177</v>
      </c>
      <c r="B1591" s="3">
        <v>1609293</v>
      </c>
      <c r="C1591" s="3" t="s">
        <v>156</v>
      </c>
      <c r="D1591" s="4">
        <v>20322243</v>
      </c>
      <c r="E1591" s="3" t="s">
        <v>117</v>
      </c>
      <c r="F1591" s="4">
        <v>1</v>
      </c>
      <c r="G1591" s="5">
        <v>30</v>
      </c>
      <c r="H1591" s="5">
        <f t="shared" si="24"/>
        <v>30</v>
      </c>
    </row>
    <row r="1592" customFormat="1" hidden="1" spans="1:8">
      <c r="A1592" s="2">
        <v>46177</v>
      </c>
      <c r="B1592" s="3">
        <v>1609293</v>
      </c>
      <c r="C1592" s="3" t="s">
        <v>156</v>
      </c>
      <c r="D1592" s="4">
        <v>20322234</v>
      </c>
      <c r="E1592" s="3" t="s">
        <v>274</v>
      </c>
      <c r="F1592" s="4">
        <v>3</v>
      </c>
      <c r="G1592" s="5">
        <v>2.5</v>
      </c>
      <c r="H1592" s="5">
        <f t="shared" si="24"/>
        <v>7.5</v>
      </c>
    </row>
    <row r="1593" customFormat="1" hidden="1" spans="1:8">
      <c r="A1593" s="2">
        <v>46177</v>
      </c>
      <c r="B1593" s="3">
        <v>1609293</v>
      </c>
      <c r="C1593" s="3" t="s">
        <v>156</v>
      </c>
      <c r="D1593" s="4">
        <v>20330757</v>
      </c>
      <c r="E1593" s="3" t="s">
        <v>288</v>
      </c>
      <c r="F1593" s="4">
        <v>3</v>
      </c>
      <c r="G1593" s="5">
        <v>35</v>
      </c>
      <c r="H1593" s="5">
        <f t="shared" si="24"/>
        <v>105</v>
      </c>
    </row>
    <row r="1594" customFormat="1" hidden="1" spans="1:8">
      <c r="A1594" s="2">
        <v>46177</v>
      </c>
      <c r="B1594" s="3">
        <v>1609293</v>
      </c>
      <c r="C1594" s="3" t="s">
        <v>156</v>
      </c>
      <c r="D1594" s="4">
        <v>20323697</v>
      </c>
      <c r="E1594" s="3" t="s">
        <v>290</v>
      </c>
      <c r="F1594" s="4">
        <v>1</v>
      </c>
      <c r="G1594" s="5">
        <v>4</v>
      </c>
      <c r="H1594" s="5">
        <f t="shared" si="24"/>
        <v>4</v>
      </c>
    </row>
    <row r="1595" customFormat="1" hidden="1" spans="1:8">
      <c r="A1595" s="2">
        <v>46177</v>
      </c>
      <c r="B1595" s="3">
        <v>1609293</v>
      </c>
      <c r="C1595" s="3" t="s">
        <v>156</v>
      </c>
      <c r="D1595" s="4">
        <v>20402355</v>
      </c>
      <c r="E1595" s="3" t="s">
        <v>291</v>
      </c>
      <c r="F1595" s="4">
        <v>1</v>
      </c>
      <c r="G1595" s="5">
        <v>25</v>
      </c>
      <c r="H1595" s="5">
        <f t="shared" si="24"/>
        <v>25</v>
      </c>
    </row>
    <row r="1596" customFormat="1" hidden="1" spans="1:8">
      <c r="A1596" s="2">
        <v>46177</v>
      </c>
      <c r="B1596" s="3">
        <v>1609293</v>
      </c>
      <c r="C1596" s="3" t="s">
        <v>153</v>
      </c>
      <c r="D1596" s="4">
        <v>20321257</v>
      </c>
      <c r="E1596" s="3" t="s">
        <v>68</v>
      </c>
      <c r="F1596" s="4">
        <v>2</v>
      </c>
      <c r="G1596" s="5">
        <v>16.5</v>
      </c>
      <c r="H1596" s="5">
        <f t="shared" si="24"/>
        <v>33</v>
      </c>
    </row>
    <row r="1597" customFormat="1" hidden="1" spans="1:8">
      <c r="A1597" s="2">
        <v>46177</v>
      </c>
      <c r="B1597" s="3">
        <v>1609293</v>
      </c>
      <c r="C1597" s="3" t="s">
        <v>153</v>
      </c>
      <c r="D1597" s="4">
        <v>20318334</v>
      </c>
      <c r="E1597" s="3" t="s">
        <v>186</v>
      </c>
      <c r="F1597" s="4">
        <v>1</v>
      </c>
      <c r="G1597" s="5">
        <v>16.5</v>
      </c>
      <c r="H1597" s="5">
        <f t="shared" si="24"/>
        <v>16.5</v>
      </c>
    </row>
    <row r="1598" customFormat="1" hidden="1" spans="1:8">
      <c r="A1598" s="2">
        <v>46177</v>
      </c>
      <c r="B1598" s="3">
        <v>1609293</v>
      </c>
      <c r="C1598" s="3" t="s">
        <v>153</v>
      </c>
      <c r="D1598" s="4">
        <v>20343399</v>
      </c>
      <c r="E1598" s="3" t="s">
        <v>228</v>
      </c>
      <c r="F1598" s="4">
        <v>1</v>
      </c>
      <c r="G1598" s="5">
        <v>33</v>
      </c>
      <c r="H1598" s="5">
        <f t="shared" si="24"/>
        <v>33</v>
      </c>
    </row>
    <row r="1599" customFormat="1" hidden="1" spans="1:8">
      <c r="A1599" s="2">
        <v>46177</v>
      </c>
      <c r="B1599" s="3">
        <v>1609293</v>
      </c>
      <c r="C1599" s="3" t="s">
        <v>153</v>
      </c>
      <c r="D1599" s="4">
        <v>20318340</v>
      </c>
      <c r="E1599" s="3" t="s">
        <v>240</v>
      </c>
      <c r="F1599" s="4">
        <v>1</v>
      </c>
      <c r="G1599" s="5">
        <v>16.5</v>
      </c>
      <c r="H1599" s="5">
        <f t="shared" si="24"/>
        <v>16.5</v>
      </c>
    </row>
    <row r="1600" customFormat="1" hidden="1" spans="1:8">
      <c r="A1600" s="2">
        <v>46177</v>
      </c>
      <c r="B1600" s="3">
        <v>1609293</v>
      </c>
      <c r="C1600" s="3" t="s">
        <v>153</v>
      </c>
      <c r="D1600" s="4">
        <v>20321250</v>
      </c>
      <c r="E1600" s="3" t="s">
        <v>259</v>
      </c>
      <c r="F1600" s="4">
        <v>1</v>
      </c>
      <c r="G1600" s="5">
        <v>16.5</v>
      </c>
      <c r="H1600" s="5">
        <f t="shared" si="24"/>
        <v>16.5</v>
      </c>
    </row>
    <row r="1601" customFormat="1" hidden="1" spans="1:8">
      <c r="A1601" s="2">
        <v>46177</v>
      </c>
      <c r="B1601" s="3">
        <v>1609293</v>
      </c>
      <c r="C1601" s="3" t="s">
        <v>153</v>
      </c>
      <c r="D1601" s="4">
        <v>20340289</v>
      </c>
      <c r="E1601" s="3" t="s">
        <v>272</v>
      </c>
      <c r="F1601" s="4">
        <v>1</v>
      </c>
      <c r="G1601" s="5">
        <v>16.5</v>
      </c>
      <c r="H1601" s="5">
        <f t="shared" si="24"/>
        <v>16.5</v>
      </c>
    </row>
    <row r="1602" customFormat="1" hidden="1" spans="1:8">
      <c r="A1602" s="2">
        <v>46177</v>
      </c>
      <c r="B1602" s="3">
        <v>1609293</v>
      </c>
      <c r="C1602" s="3" t="s">
        <v>153</v>
      </c>
      <c r="D1602" s="4">
        <v>20318336</v>
      </c>
      <c r="E1602" s="3" t="s">
        <v>303</v>
      </c>
      <c r="F1602" s="4">
        <v>1</v>
      </c>
      <c r="G1602" s="5">
        <v>16.5</v>
      </c>
      <c r="H1602" s="5">
        <f t="shared" ref="H1602:H1665" si="25">G1602*F1602</f>
        <v>16.5</v>
      </c>
    </row>
    <row r="1603" customFormat="1" hidden="1" spans="1:8">
      <c r="A1603" s="2">
        <v>46177</v>
      </c>
      <c r="B1603" s="3">
        <v>1609293</v>
      </c>
      <c r="C1603" s="3" t="s">
        <v>153</v>
      </c>
      <c r="D1603" s="4">
        <v>20318342</v>
      </c>
      <c r="E1603" s="3" t="s">
        <v>304</v>
      </c>
      <c r="F1603" s="4">
        <v>1</v>
      </c>
      <c r="G1603" s="5">
        <v>16.5</v>
      </c>
      <c r="H1603" s="5">
        <f t="shared" si="25"/>
        <v>16.5</v>
      </c>
    </row>
    <row r="1604" customFormat="1" hidden="1" spans="1:8">
      <c r="A1604" s="2">
        <v>46177</v>
      </c>
      <c r="B1604" s="3">
        <v>1609293</v>
      </c>
      <c r="C1604" s="3" t="s">
        <v>153</v>
      </c>
      <c r="D1604" s="4">
        <v>20322118</v>
      </c>
      <c r="E1604" s="3" t="s">
        <v>306</v>
      </c>
      <c r="F1604" s="4">
        <v>1</v>
      </c>
      <c r="G1604" s="5">
        <v>16.5</v>
      </c>
      <c r="H1604" s="5">
        <f t="shared" si="25"/>
        <v>16.5</v>
      </c>
    </row>
    <row r="1605" customFormat="1" hidden="1" spans="1:8">
      <c r="A1605" s="2">
        <v>46177</v>
      </c>
      <c r="B1605" s="3">
        <v>1609293</v>
      </c>
      <c r="C1605" s="3" t="s">
        <v>153</v>
      </c>
      <c r="D1605" s="4">
        <v>20318393</v>
      </c>
      <c r="E1605" s="3" t="s">
        <v>140</v>
      </c>
      <c r="F1605" s="4">
        <v>1</v>
      </c>
      <c r="G1605" s="5">
        <v>16.5</v>
      </c>
      <c r="H1605" s="5">
        <f t="shared" si="25"/>
        <v>16.5</v>
      </c>
    </row>
    <row r="1606" customFormat="1" hidden="1" spans="1:8">
      <c r="A1606" s="6">
        <v>46177</v>
      </c>
      <c r="B1606" s="7">
        <v>1609297</v>
      </c>
      <c r="C1606" s="7" t="s">
        <v>319</v>
      </c>
      <c r="D1606" s="8">
        <v>20428540</v>
      </c>
      <c r="E1606" s="7" t="s">
        <v>179</v>
      </c>
      <c r="F1606" s="8">
        <v>1</v>
      </c>
      <c r="G1606" s="9">
        <v>88</v>
      </c>
      <c r="H1606" s="9">
        <f t="shared" si="25"/>
        <v>88</v>
      </c>
    </row>
    <row r="1607" customFormat="1" hidden="1" spans="1:8">
      <c r="A1607" s="2">
        <v>46177</v>
      </c>
      <c r="B1607" s="3">
        <v>1609303</v>
      </c>
      <c r="C1607" s="3" t="s">
        <v>150</v>
      </c>
      <c r="D1607" s="4">
        <v>20428055</v>
      </c>
      <c r="E1607" s="3" t="s">
        <v>157</v>
      </c>
      <c r="F1607" s="4">
        <v>1</v>
      </c>
      <c r="G1607" s="5">
        <v>126.5</v>
      </c>
      <c r="H1607" s="5">
        <f t="shared" si="25"/>
        <v>126.5</v>
      </c>
    </row>
    <row r="1608" customFormat="1" ht="25.5" hidden="1" spans="1:8">
      <c r="A1608" s="2">
        <v>46177</v>
      </c>
      <c r="B1608" s="3">
        <v>1609303</v>
      </c>
      <c r="C1608" s="3" t="s">
        <v>150</v>
      </c>
      <c r="D1608" s="4">
        <v>20416991</v>
      </c>
      <c r="E1608" s="3" t="s">
        <v>216</v>
      </c>
      <c r="F1608" s="4">
        <v>1</v>
      </c>
      <c r="G1608" s="5">
        <v>357.5</v>
      </c>
      <c r="H1608" s="5">
        <f t="shared" si="25"/>
        <v>357.5</v>
      </c>
    </row>
    <row r="1609" customFormat="1" hidden="1" spans="1:8">
      <c r="A1609" s="2">
        <v>46177</v>
      </c>
      <c r="B1609" s="3">
        <v>1609303</v>
      </c>
      <c r="C1609" s="3" t="s">
        <v>150</v>
      </c>
      <c r="D1609" s="4">
        <v>20312966</v>
      </c>
      <c r="E1609" s="3" t="s">
        <v>258</v>
      </c>
      <c r="F1609" s="4">
        <v>4</v>
      </c>
      <c r="G1609" s="5">
        <v>159.5</v>
      </c>
      <c r="H1609" s="5">
        <f t="shared" si="25"/>
        <v>638</v>
      </c>
    </row>
    <row r="1610" customFormat="1" hidden="1" spans="1:8">
      <c r="A1610" s="2">
        <v>46177</v>
      </c>
      <c r="B1610" s="3">
        <v>1609303</v>
      </c>
      <c r="C1610" s="3" t="s">
        <v>150</v>
      </c>
      <c r="D1610" s="4">
        <v>20312965</v>
      </c>
      <c r="E1610" s="3" t="s">
        <v>112</v>
      </c>
      <c r="F1610" s="4">
        <v>3</v>
      </c>
      <c r="G1610" s="5">
        <v>137.5</v>
      </c>
      <c r="H1610" s="5">
        <f t="shared" si="25"/>
        <v>412.5</v>
      </c>
    </row>
    <row r="1611" customFormat="1" hidden="1" spans="1:8">
      <c r="A1611" s="2">
        <v>46177</v>
      </c>
      <c r="B1611" s="3">
        <v>1609303</v>
      </c>
      <c r="C1611" s="3" t="s">
        <v>150</v>
      </c>
      <c r="D1611" s="4">
        <v>20312967</v>
      </c>
      <c r="E1611" s="3" t="s">
        <v>289</v>
      </c>
      <c r="F1611" s="4">
        <v>3</v>
      </c>
      <c r="G1611" s="5">
        <v>176</v>
      </c>
      <c r="H1611" s="5">
        <f t="shared" si="25"/>
        <v>528</v>
      </c>
    </row>
    <row r="1612" customFormat="1" hidden="1" spans="1:8">
      <c r="A1612" s="2">
        <v>46177</v>
      </c>
      <c r="B1612" s="3">
        <v>1609303</v>
      </c>
      <c r="C1612" s="3" t="s">
        <v>151</v>
      </c>
      <c r="D1612" s="4">
        <v>20410296</v>
      </c>
      <c r="E1612" s="3" t="s">
        <v>188</v>
      </c>
      <c r="F1612" s="4">
        <v>1</v>
      </c>
      <c r="G1612" s="5">
        <v>16.5</v>
      </c>
      <c r="H1612" s="5">
        <f t="shared" si="25"/>
        <v>16.5</v>
      </c>
    </row>
    <row r="1613" customFormat="1" hidden="1" spans="1:8">
      <c r="A1613" s="2">
        <v>46177</v>
      </c>
      <c r="B1613" s="3">
        <v>1609303</v>
      </c>
      <c r="C1613" s="3" t="s">
        <v>151</v>
      </c>
      <c r="D1613" s="4">
        <v>20366610</v>
      </c>
      <c r="E1613" s="3" t="s">
        <v>191</v>
      </c>
      <c r="F1613" s="4">
        <v>1</v>
      </c>
      <c r="G1613" s="5">
        <v>16.5</v>
      </c>
      <c r="H1613" s="5">
        <f t="shared" si="25"/>
        <v>16.5</v>
      </c>
    </row>
    <row r="1614" customFormat="1" hidden="1" spans="1:8">
      <c r="A1614" s="2">
        <v>46177</v>
      </c>
      <c r="B1614" s="3">
        <v>1609303</v>
      </c>
      <c r="C1614" s="3" t="s">
        <v>151</v>
      </c>
      <c r="D1614" s="4">
        <v>20410957</v>
      </c>
      <c r="E1614" s="3" t="s">
        <v>197</v>
      </c>
      <c r="F1614" s="4">
        <v>1</v>
      </c>
      <c r="G1614" s="5">
        <v>16.5</v>
      </c>
      <c r="H1614" s="5">
        <f t="shared" si="25"/>
        <v>16.5</v>
      </c>
    </row>
    <row r="1615" customFormat="1" hidden="1" spans="1:8">
      <c r="A1615" s="2">
        <v>46177</v>
      </c>
      <c r="B1615" s="3">
        <v>1609303</v>
      </c>
      <c r="C1615" s="3" t="s">
        <v>151</v>
      </c>
      <c r="D1615" s="4">
        <v>20411008</v>
      </c>
      <c r="E1615" s="3" t="s">
        <v>198</v>
      </c>
      <c r="F1615" s="4">
        <v>1</v>
      </c>
      <c r="G1615" s="5">
        <v>16.5</v>
      </c>
      <c r="H1615" s="5">
        <f t="shared" si="25"/>
        <v>16.5</v>
      </c>
    </row>
    <row r="1616" customFormat="1" hidden="1" spans="1:8">
      <c r="A1616" s="2">
        <v>46177</v>
      </c>
      <c r="B1616" s="3">
        <v>1609303</v>
      </c>
      <c r="C1616" s="3" t="s">
        <v>152</v>
      </c>
      <c r="D1616" s="4">
        <v>20366063</v>
      </c>
      <c r="E1616" s="3" t="s">
        <v>193</v>
      </c>
      <c r="F1616" s="4">
        <v>1</v>
      </c>
      <c r="G1616" s="5">
        <v>66</v>
      </c>
      <c r="H1616" s="5">
        <f t="shared" si="25"/>
        <v>66</v>
      </c>
    </row>
    <row r="1617" customFormat="1" hidden="1" spans="1:8">
      <c r="A1617" s="2">
        <v>46177</v>
      </c>
      <c r="B1617" s="3">
        <v>1609303</v>
      </c>
      <c r="C1617" s="3" t="s">
        <v>153</v>
      </c>
      <c r="D1617" s="4">
        <v>20321257</v>
      </c>
      <c r="E1617" s="3" t="s">
        <v>68</v>
      </c>
      <c r="F1617" s="4">
        <v>4</v>
      </c>
      <c r="G1617" s="5">
        <v>16.5</v>
      </c>
      <c r="H1617" s="5">
        <f t="shared" si="25"/>
        <v>66</v>
      </c>
    </row>
    <row r="1618" customFormat="1" hidden="1" spans="1:8">
      <c r="A1618" s="2">
        <v>46177</v>
      </c>
      <c r="B1618" s="3">
        <v>1609303</v>
      </c>
      <c r="C1618" s="3" t="s">
        <v>153</v>
      </c>
      <c r="D1618" s="4">
        <v>20363041</v>
      </c>
      <c r="E1618" s="3" t="s">
        <v>187</v>
      </c>
      <c r="F1618" s="4">
        <v>1</v>
      </c>
      <c r="G1618" s="5">
        <v>16.5</v>
      </c>
      <c r="H1618" s="5">
        <f t="shared" si="25"/>
        <v>16.5</v>
      </c>
    </row>
    <row r="1619" customFormat="1" hidden="1" spans="1:8">
      <c r="A1619" s="2">
        <v>46177</v>
      </c>
      <c r="B1619" s="3">
        <v>1609303</v>
      </c>
      <c r="C1619" s="3" t="s">
        <v>153</v>
      </c>
      <c r="D1619" s="4">
        <v>20343399</v>
      </c>
      <c r="E1619" s="3" t="s">
        <v>228</v>
      </c>
      <c r="F1619" s="4">
        <v>2</v>
      </c>
      <c r="G1619" s="5">
        <v>33</v>
      </c>
      <c r="H1619" s="5">
        <f t="shared" si="25"/>
        <v>66</v>
      </c>
    </row>
    <row r="1620" customFormat="1" hidden="1" spans="1:8">
      <c r="A1620" s="2">
        <v>46177</v>
      </c>
      <c r="B1620" s="3">
        <v>1609303</v>
      </c>
      <c r="C1620" s="3" t="s">
        <v>153</v>
      </c>
      <c r="D1620" s="4">
        <v>20318380</v>
      </c>
      <c r="E1620" s="3" t="s">
        <v>232</v>
      </c>
      <c r="F1620" s="4">
        <v>1</v>
      </c>
      <c r="G1620" s="5">
        <v>16.5</v>
      </c>
      <c r="H1620" s="5">
        <f t="shared" si="25"/>
        <v>16.5</v>
      </c>
    </row>
    <row r="1621" customFormat="1" hidden="1" spans="1:8">
      <c r="A1621" s="2">
        <v>46177</v>
      </c>
      <c r="B1621" s="3">
        <v>1609303</v>
      </c>
      <c r="C1621" s="3" t="s">
        <v>153</v>
      </c>
      <c r="D1621" s="4">
        <v>20321250</v>
      </c>
      <c r="E1621" s="3" t="s">
        <v>259</v>
      </c>
      <c r="F1621" s="4">
        <v>1</v>
      </c>
      <c r="G1621" s="5">
        <v>16.5</v>
      </c>
      <c r="H1621" s="5">
        <f t="shared" si="25"/>
        <v>16.5</v>
      </c>
    </row>
    <row r="1622" customFormat="1" hidden="1" spans="1:8">
      <c r="A1622" s="2">
        <v>46177</v>
      </c>
      <c r="B1622" s="3">
        <v>1609303</v>
      </c>
      <c r="C1622" s="3" t="s">
        <v>153</v>
      </c>
      <c r="D1622" s="4">
        <v>20340289</v>
      </c>
      <c r="E1622" s="3" t="s">
        <v>272</v>
      </c>
      <c r="F1622" s="4">
        <v>1</v>
      </c>
      <c r="G1622" s="5">
        <v>16.5</v>
      </c>
      <c r="H1622" s="5">
        <f t="shared" si="25"/>
        <v>16.5</v>
      </c>
    </row>
    <row r="1623" customFormat="1" hidden="1" spans="1:8">
      <c r="A1623" s="2">
        <v>46177</v>
      </c>
      <c r="B1623" s="3">
        <v>1609303</v>
      </c>
      <c r="C1623" s="3" t="s">
        <v>153</v>
      </c>
      <c r="D1623" s="4">
        <v>20383164</v>
      </c>
      <c r="E1623" s="3" t="s">
        <v>273</v>
      </c>
      <c r="F1623" s="4">
        <v>1</v>
      </c>
      <c r="G1623" s="5">
        <v>22</v>
      </c>
      <c r="H1623" s="5">
        <f t="shared" si="25"/>
        <v>22</v>
      </c>
    </row>
    <row r="1624" customFormat="1" hidden="1" spans="1:8">
      <c r="A1624" s="2">
        <v>46178</v>
      </c>
      <c r="B1624" s="3">
        <v>1609561</v>
      </c>
      <c r="C1624" s="3" t="s">
        <v>150</v>
      </c>
      <c r="D1624" s="4">
        <v>20312966</v>
      </c>
      <c r="E1624" s="3" t="s">
        <v>258</v>
      </c>
      <c r="F1624" s="4">
        <v>2</v>
      </c>
      <c r="G1624" s="5">
        <v>159.5</v>
      </c>
      <c r="H1624" s="5">
        <f t="shared" si="25"/>
        <v>319</v>
      </c>
    </row>
    <row r="1625" customFormat="1" hidden="1" spans="1:8">
      <c r="A1625" s="2">
        <v>46178</v>
      </c>
      <c r="B1625" s="3">
        <v>1609561</v>
      </c>
      <c r="C1625" s="3" t="s">
        <v>150</v>
      </c>
      <c r="D1625" s="4">
        <v>20312965</v>
      </c>
      <c r="E1625" s="3" t="s">
        <v>112</v>
      </c>
      <c r="F1625" s="4">
        <v>2</v>
      </c>
      <c r="G1625" s="5">
        <v>137.5</v>
      </c>
      <c r="H1625" s="5">
        <f t="shared" si="25"/>
        <v>275</v>
      </c>
    </row>
    <row r="1626" customFormat="1" hidden="1" spans="1:8">
      <c r="A1626" s="2">
        <v>46178</v>
      </c>
      <c r="B1626" s="3">
        <v>1609561</v>
      </c>
      <c r="C1626" s="3" t="s">
        <v>150</v>
      </c>
      <c r="D1626" s="4">
        <v>20312967</v>
      </c>
      <c r="E1626" s="3" t="s">
        <v>289</v>
      </c>
      <c r="F1626" s="4">
        <v>3</v>
      </c>
      <c r="G1626" s="5">
        <v>176</v>
      </c>
      <c r="H1626" s="5">
        <f t="shared" si="25"/>
        <v>528</v>
      </c>
    </row>
    <row r="1627" customFormat="1" hidden="1" spans="1:8">
      <c r="A1627" s="2">
        <v>46178</v>
      </c>
      <c r="B1627" s="3">
        <v>1609561</v>
      </c>
      <c r="C1627" s="3" t="s">
        <v>150</v>
      </c>
      <c r="D1627" s="4">
        <v>20424417</v>
      </c>
      <c r="E1627" s="3" t="s">
        <v>312</v>
      </c>
      <c r="F1627" s="4">
        <v>2</v>
      </c>
      <c r="G1627" s="5">
        <v>66</v>
      </c>
      <c r="H1627" s="5">
        <f t="shared" si="25"/>
        <v>132</v>
      </c>
    </row>
    <row r="1628" customFormat="1" hidden="1" spans="1:8">
      <c r="A1628" s="2">
        <v>46178</v>
      </c>
      <c r="B1628" s="3">
        <v>1609561</v>
      </c>
      <c r="C1628" s="3" t="s">
        <v>151</v>
      </c>
      <c r="D1628" s="4">
        <v>20424977</v>
      </c>
      <c r="E1628" s="3" t="s">
        <v>178</v>
      </c>
      <c r="F1628" s="4">
        <v>1</v>
      </c>
      <c r="G1628" s="5">
        <v>8</v>
      </c>
      <c r="H1628" s="5">
        <f t="shared" si="25"/>
        <v>8</v>
      </c>
    </row>
    <row r="1629" customFormat="1" hidden="1" spans="1:8">
      <c r="A1629" s="2">
        <v>46178</v>
      </c>
      <c r="B1629" s="3">
        <v>1609561</v>
      </c>
      <c r="C1629" s="3" t="s">
        <v>151</v>
      </c>
      <c r="D1629" s="4">
        <v>20318395</v>
      </c>
      <c r="E1629" s="3" t="s">
        <v>309</v>
      </c>
      <c r="F1629" s="4">
        <v>1</v>
      </c>
      <c r="G1629" s="5">
        <v>16.5</v>
      </c>
      <c r="H1629" s="5">
        <f t="shared" si="25"/>
        <v>16.5</v>
      </c>
    </row>
    <row r="1630" customFormat="1" hidden="1" spans="1:8">
      <c r="A1630" s="2">
        <v>46178</v>
      </c>
      <c r="B1630" s="3">
        <v>1609561</v>
      </c>
      <c r="C1630" s="3" t="s">
        <v>156</v>
      </c>
      <c r="D1630" s="4">
        <v>20322304</v>
      </c>
      <c r="E1630" s="3" t="s">
        <v>275</v>
      </c>
      <c r="F1630" s="4">
        <v>6</v>
      </c>
      <c r="G1630" s="5">
        <v>25</v>
      </c>
      <c r="H1630" s="5">
        <f t="shared" si="25"/>
        <v>150</v>
      </c>
    </row>
    <row r="1631" customFormat="1" hidden="1" spans="1:8">
      <c r="A1631" s="2">
        <v>46178</v>
      </c>
      <c r="B1631" s="3">
        <v>1609561</v>
      </c>
      <c r="C1631" s="3" t="s">
        <v>152</v>
      </c>
      <c r="D1631" s="4">
        <v>20366059</v>
      </c>
      <c r="E1631" s="3" t="s">
        <v>194</v>
      </c>
      <c r="F1631" s="4">
        <v>1</v>
      </c>
      <c r="G1631" s="5">
        <v>66</v>
      </c>
      <c r="H1631" s="5">
        <f t="shared" si="25"/>
        <v>66</v>
      </c>
    </row>
    <row r="1632" customFormat="1" hidden="1" spans="1:8">
      <c r="A1632" s="2">
        <v>46178</v>
      </c>
      <c r="B1632" s="3">
        <v>1609561</v>
      </c>
      <c r="C1632" s="3" t="s">
        <v>153</v>
      </c>
      <c r="D1632" s="4">
        <v>20321257</v>
      </c>
      <c r="E1632" s="3" t="s">
        <v>68</v>
      </c>
      <c r="F1632" s="4">
        <v>5</v>
      </c>
      <c r="G1632" s="5">
        <v>16.5</v>
      </c>
      <c r="H1632" s="5">
        <f t="shared" si="25"/>
        <v>82.5</v>
      </c>
    </row>
    <row r="1633" customFormat="1" hidden="1" spans="1:8">
      <c r="A1633" s="2">
        <v>46178</v>
      </c>
      <c r="B1633" s="3">
        <v>1609561</v>
      </c>
      <c r="C1633" s="3" t="s">
        <v>153</v>
      </c>
      <c r="D1633" s="4">
        <v>20318334</v>
      </c>
      <c r="E1633" s="3" t="s">
        <v>186</v>
      </c>
      <c r="F1633" s="4">
        <v>1</v>
      </c>
      <c r="G1633" s="5">
        <v>16.5</v>
      </c>
      <c r="H1633" s="5">
        <f t="shared" si="25"/>
        <v>16.5</v>
      </c>
    </row>
    <row r="1634" customFormat="1" hidden="1" spans="1:8">
      <c r="A1634" s="2">
        <v>46178</v>
      </c>
      <c r="B1634" s="3">
        <v>1609561</v>
      </c>
      <c r="C1634" s="3" t="s">
        <v>153</v>
      </c>
      <c r="D1634" s="4">
        <v>20318340</v>
      </c>
      <c r="E1634" s="3" t="s">
        <v>240</v>
      </c>
      <c r="F1634" s="4">
        <v>1</v>
      </c>
      <c r="G1634" s="5">
        <v>16.5</v>
      </c>
      <c r="H1634" s="5">
        <f t="shared" si="25"/>
        <v>16.5</v>
      </c>
    </row>
    <row r="1635" customFormat="1" hidden="1" spans="1:8">
      <c r="A1635" s="2">
        <v>46178</v>
      </c>
      <c r="B1635" s="3">
        <v>1609561</v>
      </c>
      <c r="C1635" s="3" t="s">
        <v>153</v>
      </c>
      <c r="D1635" s="4">
        <v>20321250</v>
      </c>
      <c r="E1635" s="3" t="s">
        <v>259</v>
      </c>
      <c r="F1635" s="4">
        <v>2</v>
      </c>
      <c r="G1635" s="5">
        <v>16.5</v>
      </c>
      <c r="H1635" s="5">
        <f t="shared" si="25"/>
        <v>33</v>
      </c>
    </row>
    <row r="1636" customFormat="1" hidden="1" spans="1:8">
      <c r="A1636" s="2">
        <v>46178</v>
      </c>
      <c r="B1636" s="3">
        <v>1609561</v>
      </c>
      <c r="C1636" s="3" t="s">
        <v>153</v>
      </c>
      <c r="D1636" s="4">
        <v>20318342</v>
      </c>
      <c r="E1636" s="3" t="s">
        <v>304</v>
      </c>
      <c r="F1636" s="4">
        <v>2</v>
      </c>
      <c r="G1636" s="5">
        <v>16.5</v>
      </c>
      <c r="H1636" s="5">
        <f t="shared" si="25"/>
        <v>33</v>
      </c>
    </row>
    <row r="1637" customFormat="1" hidden="1" spans="1:8">
      <c r="A1637" s="2">
        <v>46178</v>
      </c>
      <c r="B1637" s="3">
        <v>1609563</v>
      </c>
      <c r="C1637" s="3" t="s">
        <v>156</v>
      </c>
      <c r="D1637" s="4">
        <v>20322243</v>
      </c>
      <c r="E1637" s="3" t="s">
        <v>117</v>
      </c>
      <c r="F1637" s="4">
        <v>1</v>
      </c>
      <c r="G1637" s="5">
        <v>30</v>
      </c>
      <c r="H1637" s="5">
        <f t="shared" si="25"/>
        <v>30</v>
      </c>
    </row>
    <row r="1638" customFormat="1" hidden="1" spans="1:8">
      <c r="A1638" s="2">
        <v>46178</v>
      </c>
      <c r="B1638" s="3">
        <v>1609563</v>
      </c>
      <c r="C1638" s="3" t="s">
        <v>156</v>
      </c>
      <c r="D1638" s="4">
        <v>20330757</v>
      </c>
      <c r="E1638" s="3" t="s">
        <v>288</v>
      </c>
      <c r="F1638" s="4">
        <v>3</v>
      </c>
      <c r="G1638" s="5">
        <v>35</v>
      </c>
      <c r="H1638" s="5">
        <f t="shared" si="25"/>
        <v>105</v>
      </c>
    </row>
    <row r="1639" customFormat="1" hidden="1" spans="1:8">
      <c r="A1639" s="2">
        <v>46178</v>
      </c>
      <c r="B1639" s="3">
        <v>1609595</v>
      </c>
      <c r="C1639" s="3" t="s">
        <v>150</v>
      </c>
      <c r="D1639" s="4">
        <v>20428525</v>
      </c>
      <c r="E1639" s="3" t="s">
        <v>183</v>
      </c>
      <c r="F1639" s="4">
        <v>1</v>
      </c>
      <c r="G1639" s="5">
        <v>44</v>
      </c>
      <c r="H1639" s="5">
        <f t="shared" si="25"/>
        <v>44</v>
      </c>
    </row>
    <row r="1640" customFormat="1" hidden="1" spans="1:8">
      <c r="A1640" s="2">
        <v>46178</v>
      </c>
      <c r="B1640" s="3">
        <v>1609595</v>
      </c>
      <c r="C1640" s="3" t="s">
        <v>150</v>
      </c>
      <c r="D1640" s="4">
        <v>20312995</v>
      </c>
      <c r="E1640" s="3" t="s">
        <v>236</v>
      </c>
      <c r="F1640" s="4">
        <v>1</v>
      </c>
      <c r="G1640" s="5">
        <v>82.5</v>
      </c>
      <c r="H1640" s="5">
        <f t="shared" si="25"/>
        <v>82.5</v>
      </c>
    </row>
    <row r="1641" customFormat="1" hidden="1" spans="1:8">
      <c r="A1641" s="2">
        <v>46178</v>
      </c>
      <c r="B1641" s="3">
        <v>1609595</v>
      </c>
      <c r="C1641" s="3" t="s">
        <v>150</v>
      </c>
      <c r="D1641" s="4">
        <v>20312966</v>
      </c>
      <c r="E1641" s="3" t="s">
        <v>258</v>
      </c>
      <c r="F1641" s="4">
        <v>3</v>
      </c>
      <c r="G1641" s="5">
        <v>159.5</v>
      </c>
      <c r="H1641" s="5">
        <f t="shared" si="25"/>
        <v>478.5</v>
      </c>
    </row>
    <row r="1642" customFormat="1" hidden="1" spans="1:8">
      <c r="A1642" s="2">
        <v>46178</v>
      </c>
      <c r="B1642" s="3">
        <v>1609595</v>
      </c>
      <c r="C1642" s="3" t="s">
        <v>150</v>
      </c>
      <c r="D1642" s="4">
        <v>20312965</v>
      </c>
      <c r="E1642" s="3" t="s">
        <v>112</v>
      </c>
      <c r="F1642" s="4">
        <v>1</v>
      </c>
      <c r="G1642" s="5">
        <v>137.5</v>
      </c>
      <c r="H1642" s="5">
        <f t="shared" si="25"/>
        <v>137.5</v>
      </c>
    </row>
    <row r="1643" customFormat="1" hidden="1" spans="1:8">
      <c r="A1643" s="2">
        <v>46178</v>
      </c>
      <c r="B1643" s="3">
        <v>1609595</v>
      </c>
      <c r="C1643" s="3" t="s">
        <v>150</v>
      </c>
      <c r="D1643" s="4">
        <v>20312967</v>
      </c>
      <c r="E1643" s="3" t="s">
        <v>289</v>
      </c>
      <c r="F1643" s="4">
        <v>3</v>
      </c>
      <c r="G1643" s="5">
        <v>176</v>
      </c>
      <c r="H1643" s="5">
        <f t="shared" si="25"/>
        <v>528</v>
      </c>
    </row>
    <row r="1644" customFormat="1" hidden="1" spans="1:8">
      <c r="A1644" s="2">
        <v>46178</v>
      </c>
      <c r="B1644" s="3">
        <v>1609595</v>
      </c>
      <c r="C1644" s="3" t="s">
        <v>156</v>
      </c>
      <c r="D1644" s="4">
        <v>20322235</v>
      </c>
      <c r="E1644" s="3" t="s">
        <v>111</v>
      </c>
      <c r="F1644" s="4">
        <v>3</v>
      </c>
      <c r="G1644" s="5">
        <v>2.5</v>
      </c>
      <c r="H1644" s="5">
        <f t="shared" si="25"/>
        <v>7.5</v>
      </c>
    </row>
    <row r="1645" customFormat="1" hidden="1" spans="1:8">
      <c r="A1645" s="2">
        <v>46178</v>
      </c>
      <c r="B1645" s="3">
        <v>1609595</v>
      </c>
      <c r="C1645" s="3" t="s">
        <v>156</v>
      </c>
      <c r="D1645" s="4">
        <v>20322234</v>
      </c>
      <c r="E1645" s="3" t="s">
        <v>274</v>
      </c>
      <c r="F1645" s="4">
        <v>3</v>
      </c>
      <c r="G1645" s="5">
        <v>2.5</v>
      </c>
      <c r="H1645" s="5">
        <f t="shared" si="25"/>
        <v>7.5</v>
      </c>
    </row>
    <row r="1646" customFormat="1" hidden="1" spans="1:8">
      <c r="A1646" s="2">
        <v>46178</v>
      </c>
      <c r="B1646" s="3">
        <v>1609595</v>
      </c>
      <c r="C1646" s="3" t="s">
        <v>152</v>
      </c>
      <c r="D1646" s="4">
        <v>20408950</v>
      </c>
      <c r="E1646" s="3" t="s">
        <v>295</v>
      </c>
      <c r="F1646" s="4">
        <v>1</v>
      </c>
      <c r="G1646" s="5">
        <v>60.5</v>
      </c>
      <c r="H1646" s="5">
        <f t="shared" si="25"/>
        <v>60.5</v>
      </c>
    </row>
    <row r="1647" customFormat="1" hidden="1" spans="1:8">
      <c r="A1647" s="2">
        <v>46178</v>
      </c>
      <c r="B1647" s="3">
        <v>1609595</v>
      </c>
      <c r="C1647" s="3" t="s">
        <v>153</v>
      </c>
      <c r="D1647" s="4">
        <v>20321257</v>
      </c>
      <c r="E1647" s="3" t="s">
        <v>68</v>
      </c>
      <c r="F1647" s="4">
        <v>3</v>
      </c>
      <c r="G1647" s="5">
        <v>16.5</v>
      </c>
      <c r="H1647" s="5">
        <f t="shared" si="25"/>
        <v>49.5</v>
      </c>
    </row>
    <row r="1648" customFormat="1" hidden="1" spans="1:8">
      <c r="A1648" s="2">
        <v>46178</v>
      </c>
      <c r="B1648" s="3">
        <v>1609595</v>
      </c>
      <c r="C1648" s="3" t="s">
        <v>153</v>
      </c>
      <c r="D1648" s="4">
        <v>20363041</v>
      </c>
      <c r="E1648" s="3" t="s">
        <v>187</v>
      </c>
      <c r="F1648" s="4">
        <v>1</v>
      </c>
      <c r="G1648" s="5">
        <v>16.5</v>
      </c>
      <c r="H1648" s="5">
        <f t="shared" si="25"/>
        <v>16.5</v>
      </c>
    </row>
    <row r="1649" customFormat="1" hidden="1" spans="1:8">
      <c r="A1649" s="2">
        <v>46178</v>
      </c>
      <c r="B1649" s="3">
        <v>1609595</v>
      </c>
      <c r="C1649" s="3" t="s">
        <v>153</v>
      </c>
      <c r="D1649" s="4">
        <v>20318393</v>
      </c>
      <c r="E1649" s="3" t="s">
        <v>140</v>
      </c>
      <c r="F1649" s="4">
        <v>1</v>
      </c>
      <c r="G1649" s="5">
        <v>16.5</v>
      </c>
      <c r="H1649" s="5">
        <f t="shared" si="25"/>
        <v>16.5</v>
      </c>
    </row>
    <row r="1650" customFormat="1" hidden="1" spans="1:8">
      <c r="A1650" s="2">
        <v>46178</v>
      </c>
      <c r="B1650" s="3">
        <v>1609644</v>
      </c>
      <c r="C1650" s="3" t="s">
        <v>318</v>
      </c>
      <c r="D1650" s="4">
        <v>20321778</v>
      </c>
      <c r="E1650" s="3" t="s">
        <v>245</v>
      </c>
      <c r="F1650" s="4">
        <v>1</v>
      </c>
      <c r="G1650" s="5">
        <v>2.5</v>
      </c>
      <c r="H1650" s="5">
        <f t="shared" si="25"/>
        <v>2.5</v>
      </c>
    </row>
    <row r="1651" customFormat="1" hidden="1" spans="1:8">
      <c r="A1651" s="2">
        <v>46178</v>
      </c>
      <c r="B1651" s="3">
        <v>1609657</v>
      </c>
      <c r="C1651" s="3" t="s">
        <v>150</v>
      </c>
      <c r="D1651" s="4">
        <v>20428523</v>
      </c>
      <c r="E1651" s="3" t="s">
        <v>180</v>
      </c>
      <c r="F1651" s="4">
        <v>1</v>
      </c>
      <c r="G1651" s="5">
        <v>38.5</v>
      </c>
      <c r="H1651" s="5">
        <f t="shared" si="25"/>
        <v>38.5</v>
      </c>
    </row>
    <row r="1652" customFormat="1" hidden="1" spans="1:8">
      <c r="A1652" s="2">
        <v>46178</v>
      </c>
      <c r="B1652" s="3">
        <v>1609657</v>
      </c>
      <c r="C1652" s="3" t="s">
        <v>150</v>
      </c>
      <c r="D1652" s="4">
        <v>20312965</v>
      </c>
      <c r="E1652" s="3" t="s">
        <v>112</v>
      </c>
      <c r="F1652" s="4">
        <v>2</v>
      </c>
      <c r="G1652" s="5">
        <v>137.5</v>
      </c>
      <c r="H1652" s="5">
        <f t="shared" si="25"/>
        <v>275</v>
      </c>
    </row>
    <row r="1653" customFormat="1" hidden="1" spans="1:8">
      <c r="A1653" s="2">
        <v>46178</v>
      </c>
      <c r="B1653" s="3">
        <v>1609657</v>
      </c>
      <c r="C1653" s="3" t="s">
        <v>150</v>
      </c>
      <c r="D1653" s="4">
        <v>20312967</v>
      </c>
      <c r="E1653" s="3" t="s">
        <v>289</v>
      </c>
      <c r="F1653" s="4">
        <v>8</v>
      </c>
      <c r="G1653" s="5">
        <v>176</v>
      </c>
      <c r="H1653" s="5">
        <f t="shared" si="25"/>
        <v>1408</v>
      </c>
    </row>
    <row r="1654" customFormat="1" hidden="1" spans="1:8">
      <c r="A1654" s="2">
        <v>46178</v>
      </c>
      <c r="B1654" s="3">
        <v>1609657</v>
      </c>
      <c r="C1654" s="3" t="s">
        <v>151</v>
      </c>
      <c r="D1654" s="4">
        <v>20340288</v>
      </c>
      <c r="E1654" s="3" t="s">
        <v>282</v>
      </c>
      <c r="F1654" s="4">
        <v>1</v>
      </c>
      <c r="G1654" s="5">
        <v>22</v>
      </c>
      <c r="H1654" s="5">
        <f t="shared" si="25"/>
        <v>22</v>
      </c>
    </row>
    <row r="1655" customFormat="1" hidden="1" spans="1:8">
      <c r="A1655" s="2">
        <v>46178</v>
      </c>
      <c r="B1655" s="3">
        <v>1609657</v>
      </c>
      <c r="C1655" s="3" t="s">
        <v>153</v>
      </c>
      <c r="D1655" s="4">
        <v>20318378</v>
      </c>
      <c r="E1655" s="3" t="s">
        <v>231</v>
      </c>
      <c r="F1655" s="4">
        <v>1</v>
      </c>
      <c r="G1655" s="5">
        <v>16.5</v>
      </c>
      <c r="H1655" s="5">
        <f t="shared" si="25"/>
        <v>16.5</v>
      </c>
    </row>
    <row r="1656" customFormat="1" hidden="1" spans="1:8">
      <c r="A1656" s="2">
        <v>46178</v>
      </c>
      <c r="B1656" s="3">
        <v>1609657</v>
      </c>
      <c r="C1656" s="3" t="s">
        <v>153</v>
      </c>
      <c r="D1656" s="4">
        <v>20365760</v>
      </c>
      <c r="E1656" s="3" t="s">
        <v>241</v>
      </c>
      <c r="F1656" s="4">
        <v>1</v>
      </c>
      <c r="G1656" s="5">
        <v>16.5</v>
      </c>
      <c r="H1656" s="5">
        <f t="shared" si="25"/>
        <v>16.5</v>
      </c>
    </row>
    <row r="1657" customFormat="1" hidden="1" spans="1:8">
      <c r="A1657" s="2">
        <v>46178</v>
      </c>
      <c r="B1657" s="3">
        <v>1609657</v>
      </c>
      <c r="C1657" s="3" t="s">
        <v>153</v>
      </c>
      <c r="D1657" s="4">
        <v>20321250</v>
      </c>
      <c r="E1657" s="3" t="s">
        <v>259</v>
      </c>
      <c r="F1657" s="4">
        <v>1</v>
      </c>
      <c r="G1657" s="5">
        <v>16.5</v>
      </c>
      <c r="H1657" s="5">
        <f t="shared" si="25"/>
        <v>16.5</v>
      </c>
    </row>
    <row r="1658" customFormat="1" hidden="1" spans="1:8">
      <c r="A1658" s="2">
        <v>46178</v>
      </c>
      <c r="B1658" s="3">
        <v>1609657</v>
      </c>
      <c r="C1658" s="3" t="s">
        <v>153</v>
      </c>
      <c r="D1658" s="4">
        <v>20318379</v>
      </c>
      <c r="E1658" s="3" t="s">
        <v>127</v>
      </c>
      <c r="F1658" s="4">
        <v>1</v>
      </c>
      <c r="G1658" s="5">
        <v>16.5</v>
      </c>
      <c r="H1658" s="5">
        <f t="shared" si="25"/>
        <v>16.5</v>
      </c>
    </row>
    <row r="1659" customFormat="1" hidden="1" spans="1:8">
      <c r="A1659" s="2">
        <v>46178</v>
      </c>
      <c r="B1659" s="3">
        <v>1609657</v>
      </c>
      <c r="C1659" s="3" t="s">
        <v>153</v>
      </c>
      <c r="D1659" s="4">
        <v>20318336</v>
      </c>
      <c r="E1659" s="3" t="s">
        <v>303</v>
      </c>
      <c r="F1659" s="4">
        <v>1</v>
      </c>
      <c r="G1659" s="5">
        <v>16.5</v>
      </c>
      <c r="H1659" s="5">
        <f t="shared" si="25"/>
        <v>16.5</v>
      </c>
    </row>
    <row r="1660" customFormat="1" hidden="1" spans="1:8">
      <c r="A1660" s="2">
        <v>46178</v>
      </c>
      <c r="B1660" s="3">
        <v>1609657</v>
      </c>
      <c r="C1660" s="3" t="s">
        <v>153</v>
      </c>
      <c r="D1660" s="4">
        <v>20318342</v>
      </c>
      <c r="E1660" s="3" t="s">
        <v>304</v>
      </c>
      <c r="F1660" s="4">
        <v>1</v>
      </c>
      <c r="G1660" s="5">
        <v>16.5</v>
      </c>
      <c r="H1660" s="5">
        <f t="shared" si="25"/>
        <v>16.5</v>
      </c>
    </row>
    <row r="1661" customFormat="1" hidden="1" spans="1:8">
      <c r="A1661" s="6">
        <v>46178</v>
      </c>
      <c r="B1661" s="7">
        <v>1609672</v>
      </c>
      <c r="C1661" s="7" t="s">
        <v>317</v>
      </c>
      <c r="D1661" s="8">
        <v>20366039</v>
      </c>
      <c r="E1661" s="7" t="s">
        <v>165</v>
      </c>
      <c r="F1661" s="8">
        <v>1</v>
      </c>
      <c r="G1661" s="9">
        <v>35</v>
      </c>
      <c r="H1661" s="9">
        <f t="shared" si="25"/>
        <v>35</v>
      </c>
    </row>
    <row r="1662" customFormat="1" hidden="1" spans="1:8">
      <c r="A1662" s="2">
        <v>46178</v>
      </c>
      <c r="B1662" s="3">
        <v>1609705</v>
      </c>
      <c r="C1662" s="3" t="s">
        <v>150</v>
      </c>
      <c r="D1662" s="4">
        <v>20394424</v>
      </c>
      <c r="E1662" s="3" t="s">
        <v>299</v>
      </c>
      <c r="F1662" s="4">
        <v>1</v>
      </c>
      <c r="G1662" s="5">
        <v>71.5</v>
      </c>
      <c r="H1662" s="5">
        <f t="shared" si="25"/>
        <v>71.5</v>
      </c>
    </row>
    <row r="1663" customFormat="1" hidden="1" spans="1:8">
      <c r="A1663" s="2">
        <v>46178</v>
      </c>
      <c r="B1663" s="3">
        <v>1609726</v>
      </c>
      <c r="C1663" s="3" t="s">
        <v>150</v>
      </c>
      <c r="D1663" s="4">
        <v>20312966</v>
      </c>
      <c r="E1663" s="3" t="s">
        <v>258</v>
      </c>
      <c r="F1663" s="4">
        <v>6</v>
      </c>
      <c r="G1663" s="5">
        <v>159.5</v>
      </c>
      <c r="H1663" s="5">
        <f t="shared" si="25"/>
        <v>957</v>
      </c>
    </row>
    <row r="1664" customFormat="1" hidden="1" spans="1:8">
      <c r="A1664" s="2">
        <v>46178</v>
      </c>
      <c r="B1664" s="3">
        <v>1609726</v>
      </c>
      <c r="C1664" s="3" t="s">
        <v>150</v>
      </c>
      <c r="D1664" s="4">
        <v>20312965</v>
      </c>
      <c r="E1664" s="3" t="s">
        <v>112</v>
      </c>
      <c r="F1664" s="4">
        <v>3</v>
      </c>
      <c r="G1664" s="5">
        <v>137.5</v>
      </c>
      <c r="H1664" s="5">
        <f t="shared" si="25"/>
        <v>412.5</v>
      </c>
    </row>
    <row r="1665" customFormat="1" hidden="1" spans="1:8">
      <c r="A1665" s="2">
        <v>46178</v>
      </c>
      <c r="B1665" s="3">
        <v>1609726</v>
      </c>
      <c r="C1665" s="3" t="s">
        <v>150</v>
      </c>
      <c r="D1665" s="4">
        <v>20312967</v>
      </c>
      <c r="E1665" s="3" t="s">
        <v>289</v>
      </c>
      <c r="F1665" s="4">
        <v>4</v>
      </c>
      <c r="G1665" s="5">
        <v>176</v>
      </c>
      <c r="H1665" s="5">
        <f t="shared" si="25"/>
        <v>704</v>
      </c>
    </row>
    <row r="1666" customFormat="1" hidden="1" spans="1:8">
      <c r="A1666" s="2">
        <v>46178</v>
      </c>
      <c r="B1666" s="3">
        <v>1609726</v>
      </c>
      <c r="C1666" s="3" t="s">
        <v>150</v>
      </c>
      <c r="D1666" s="4">
        <v>20321251</v>
      </c>
      <c r="E1666" s="3" t="s">
        <v>311</v>
      </c>
      <c r="F1666" s="4">
        <v>1</v>
      </c>
      <c r="G1666" s="5">
        <v>187</v>
      </c>
      <c r="H1666" s="5">
        <f t="shared" ref="H1666:H1729" si="26">G1666*F1666</f>
        <v>187</v>
      </c>
    </row>
    <row r="1667" customFormat="1" hidden="1" spans="1:8">
      <c r="A1667" s="2">
        <v>46178</v>
      </c>
      <c r="B1667" s="3">
        <v>1609726</v>
      </c>
      <c r="C1667" s="3" t="s">
        <v>151</v>
      </c>
      <c r="D1667" s="4">
        <v>20410957</v>
      </c>
      <c r="E1667" s="3" t="s">
        <v>197</v>
      </c>
      <c r="F1667" s="4">
        <v>1</v>
      </c>
      <c r="G1667" s="5">
        <v>16.5</v>
      </c>
      <c r="H1667" s="5">
        <f t="shared" si="26"/>
        <v>16.5</v>
      </c>
    </row>
    <row r="1668" customFormat="1" hidden="1" spans="1:8">
      <c r="A1668" s="2">
        <v>46178</v>
      </c>
      <c r="B1668" s="3">
        <v>1609726</v>
      </c>
      <c r="C1668" s="3" t="s">
        <v>151</v>
      </c>
      <c r="D1668" s="4">
        <v>20318395</v>
      </c>
      <c r="E1668" s="3" t="s">
        <v>309</v>
      </c>
      <c r="F1668" s="4">
        <v>1</v>
      </c>
      <c r="G1668" s="5">
        <v>16.5</v>
      </c>
      <c r="H1668" s="5">
        <f t="shared" si="26"/>
        <v>16.5</v>
      </c>
    </row>
    <row r="1669" customFormat="1" hidden="1" spans="1:8">
      <c r="A1669" s="2">
        <v>46178</v>
      </c>
      <c r="B1669" s="3">
        <v>1609726</v>
      </c>
      <c r="C1669" s="3" t="s">
        <v>156</v>
      </c>
      <c r="D1669" s="4">
        <v>20322235</v>
      </c>
      <c r="E1669" s="3" t="s">
        <v>111</v>
      </c>
      <c r="F1669" s="4">
        <v>3</v>
      </c>
      <c r="G1669" s="5">
        <v>2.5</v>
      </c>
      <c r="H1669" s="5">
        <f t="shared" si="26"/>
        <v>7.5</v>
      </c>
    </row>
    <row r="1670" customFormat="1" hidden="1" spans="1:8">
      <c r="A1670" s="2">
        <v>46178</v>
      </c>
      <c r="B1670" s="3">
        <v>1609726</v>
      </c>
      <c r="C1670" s="3" t="s">
        <v>156</v>
      </c>
      <c r="D1670" s="4">
        <v>20322243</v>
      </c>
      <c r="E1670" s="3" t="s">
        <v>117</v>
      </c>
      <c r="F1670" s="4">
        <v>1</v>
      </c>
      <c r="G1670" s="5">
        <v>30</v>
      </c>
      <c r="H1670" s="5">
        <f t="shared" si="26"/>
        <v>30</v>
      </c>
    </row>
    <row r="1671" customFormat="1" hidden="1" spans="1:8">
      <c r="A1671" s="2">
        <v>46178</v>
      </c>
      <c r="B1671" s="3">
        <v>1609726</v>
      </c>
      <c r="C1671" s="3" t="s">
        <v>156</v>
      </c>
      <c r="D1671" s="4">
        <v>20322234</v>
      </c>
      <c r="E1671" s="3" t="s">
        <v>274</v>
      </c>
      <c r="F1671" s="4">
        <v>2</v>
      </c>
      <c r="G1671" s="5">
        <v>2.5</v>
      </c>
      <c r="H1671" s="5">
        <f t="shared" si="26"/>
        <v>5</v>
      </c>
    </row>
    <row r="1672" customFormat="1" hidden="1" spans="1:8">
      <c r="A1672" s="2">
        <v>46178</v>
      </c>
      <c r="B1672" s="3">
        <v>1609726</v>
      </c>
      <c r="C1672" s="3" t="s">
        <v>156</v>
      </c>
      <c r="D1672" s="4">
        <v>20330757</v>
      </c>
      <c r="E1672" s="3" t="s">
        <v>288</v>
      </c>
      <c r="F1672" s="4">
        <v>2</v>
      </c>
      <c r="G1672" s="5">
        <v>35</v>
      </c>
      <c r="H1672" s="5">
        <f t="shared" si="26"/>
        <v>70</v>
      </c>
    </row>
    <row r="1673" customFormat="1" hidden="1" spans="1:8">
      <c r="A1673" s="2">
        <v>46178</v>
      </c>
      <c r="B1673" s="3">
        <v>1609726</v>
      </c>
      <c r="C1673" s="3" t="s">
        <v>153</v>
      </c>
      <c r="D1673" s="4">
        <v>20321257</v>
      </c>
      <c r="E1673" s="3" t="s">
        <v>68</v>
      </c>
      <c r="F1673" s="4">
        <v>1</v>
      </c>
      <c r="G1673" s="5">
        <v>16.5</v>
      </c>
      <c r="H1673" s="5">
        <f t="shared" si="26"/>
        <v>16.5</v>
      </c>
    </row>
    <row r="1674" customFormat="1" hidden="1" spans="1:8">
      <c r="A1674" s="2">
        <v>46178</v>
      </c>
      <c r="B1674" s="3">
        <v>1609726</v>
      </c>
      <c r="C1674" s="3" t="s">
        <v>153</v>
      </c>
      <c r="D1674" s="4">
        <v>20318334</v>
      </c>
      <c r="E1674" s="3" t="s">
        <v>186</v>
      </c>
      <c r="F1674" s="4">
        <v>1</v>
      </c>
      <c r="G1674" s="5">
        <v>16.5</v>
      </c>
      <c r="H1674" s="5">
        <f t="shared" si="26"/>
        <v>16.5</v>
      </c>
    </row>
    <row r="1675" customFormat="1" hidden="1" spans="1:8">
      <c r="A1675" s="2">
        <v>46178</v>
      </c>
      <c r="B1675" s="3">
        <v>1609726</v>
      </c>
      <c r="C1675" s="3" t="s">
        <v>153</v>
      </c>
      <c r="D1675" s="4">
        <v>20318378</v>
      </c>
      <c r="E1675" s="3" t="s">
        <v>231</v>
      </c>
      <c r="F1675" s="4">
        <v>2</v>
      </c>
      <c r="G1675" s="5">
        <v>16.5</v>
      </c>
      <c r="H1675" s="5">
        <f t="shared" si="26"/>
        <v>33</v>
      </c>
    </row>
    <row r="1676" customFormat="1" hidden="1" spans="1:8">
      <c r="A1676" s="2">
        <v>46178</v>
      </c>
      <c r="B1676" s="3">
        <v>1609726</v>
      </c>
      <c r="C1676" s="3" t="s">
        <v>153</v>
      </c>
      <c r="D1676" s="4">
        <v>20318380</v>
      </c>
      <c r="E1676" s="3" t="s">
        <v>232</v>
      </c>
      <c r="F1676" s="4">
        <v>3</v>
      </c>
      <c r="G1676" s="5">
        <v>16.5</v>
      </c>
      <c r="H1676" s="5">
        <f t="shared" si="26"/>
        <v>49.5</v>
      </c>
    </row>
    <row r="1677" customFormat="1" hidden="1" spans="1:8">
      <c r="A1677" s="2">
        <v>46178</v>
      </c>
      <c r="B1677" s="3">
        <v>1609726</v>
      </c>
      <c r="C1677" s="3" t="s">
        <v>153</v>
      </c>
      <c r="D1677" s="4">
        <v>20318340</v>
      </c>
      <c r="E1677" s="3" t="s">
        <v>240</v>
      </c>
      <c r="F1677" s="4">
        <v>2</v>
      </c>
      <c r="G1677" s="5">
        <v>16.5</v>
      </c>
      <c r="H1677" s="5">
        <f t="shared" si="26"/>
        <v>33</v>
      </c>
    </row>
    <row r="1678" customFormat="1" hidden="1" spans="1:8">
      <c r="A1678" s="2">
        <v>46178</v>
      </c>
      <c r="B1678" s="3">
        <v>1609726</v>
      </c>
      <c r="C1678" s="3" t="s">
        <v>153</v>
      </c>
      <c r="D1678" s="4">
        <v>20321250</v>
      </c>
      <c r="E1678" s="3" t="s">
        <v>259</v>
      </c>
      <c r="F1678" s="4">
        <v>1</v>
      </c>
      <c r="G1678" s="5">
        <v>16.5</v>
      </c>
      <c r="H1678" s="5">
        <f t="shared" si="26"/>
        <v>16.5</v>
      </c>
    </row>
    <row r="1679" customFormat="1" hidden="1" spans="1:8">
      <c r="A1679" s="2">
        <v>46178</v>
      </c>
      <c r="B1679" s="3">
        <v>1609726</v>
      </c>
      <c r="C1679" s="3" t="s">
        <v>153</v>
      </c>
      <c r="D1679" s="4">
        <v>20318336</v>
      </c>
      <c r="E1679" s="3" t="s">
        <v>303</v>
      </c>
      <c r="F1679" s="4">
        <v>2</v>
      </c>
      <c r="G1679" s="5">
        <v>16.5</v>
      </c>
      <c r="H1679" s="5">
        <f t="shared" si="26"/>
        <v>33</v>
      </c>
    </row>
    <row r="1680" customFormat="1" hidden="1" spans="1:8">
      <c r="A1680" s="2">
        <v>46178</v>
      </c>
      <c r="B1680" s="3">
        <v>1609726</v>
      </c>
      <c r="C1680" s="3" t="s">
        <v>153</v>
      </c>
      <c r="D1680" s="4">
        <v>20318393</v>
      </c>
      <c r="E1680" s="3" t="s">
        <v>140</v>
      </c>
      <c r="F1680" s="4">
        <v>1</v>
      </c>
      <c r="G1680" s="5">
        <v>16.5</v>
      </c>
      <c r="H1680" s="5">
        <f t="shared" si="26"/>
        <v>16.5</v>
      </c>
    </row>
    <row r="1681" customFormat="1" hidden="1" spans="1:8">
      <c r="A1681" s="2">
        <v>46178</v>
      </c>
      <c r="B1681" s="3">
        <v>1609740</v>
      </c>
      <c r="C1681" s="3" t="s">
        <v>150</v>
      </c>
      <c r="D1681" s="4">
        <v>20312966</v>
      </c>
      <c r="E1681" s="3" t="s">
        <v>258</v>
      </c>
      <c r="F1681" s="4">
        <v>1</v>
      </c>
      <c r="G1681" s="5">
        <v>159.5</v>
      </c>
      <c r="H1681" s="5">
        <f t="shared" si="26"/>
        <v>159.5</v>
      </c>
    </row>
    <row r="1682" customFormat="1" hidden="1" spans="1:8">
      <c r="A1682" s="2">
        <v>46178</v>
      </c>
      <c r="B1682" s="3">
        <v>1609740</v>
      </c>
      <c r="C1682" s="3" t="s">
        <v>150</v>
      </c>
      <c r="D1682" s="4">
        <v>20312965</v>
      </c>
      <c r="E1682" s="3" t="s">
        <v>112</v>
      </c>
      <c r="F1682" s="4">
        <v>2</v>
      </c>
      <c r="G1682" s="5">
        <v>137.5</v>
      </c>
      <c r="H1682" s="5">
        <f t="shared" si="26"/>
        <v>275</v>
      </c>
    </row>
    <row r="1683" customFormat="1" hidden="1" spans="1:8">
      <c r="A1683" s="2">
        <v>46178</v>
      </c>
      <c r="B1683" s="3">
        <v>1609740</v>
      </c>
      <c r="C1683" s="3" t="s">
        <v>150</v>
      </c>
      <c r="D1683" s="4">
        <v>20312967</v>
      </c>
      <c r="E1683" s="3" t="s">
        <v>289</v>
      </c>
      <c r="F1683" s="4">
        <v>6</v>
      </c>
      <c r="G1683" s="5">
        <v>176</v>
      </c>
      <c r="H1683" s="5">
        <f t="shared" si="26"/>
        <v>1056</v>
      </c>
    </row>
    <row r="1684" customFormat="1" hidden="1" spans="1:8">
      <c r="A1684" s="2">
        <v>46178</v>
      </c>
      <c r="B1684" s="3">
        <v>1609740</v>
      </c>
      <c r="C1684" s="3" t="s">
        <v>150</v>
      </c>
      <c r="D1684" s="4">
        <v>20424417</v>
      </c>
      <c r="E1684" s="3" t="s">
        <v>312</v>
      </c>
      <c r="F1684" s="4">
        <v>2</v>
      </c>
      <c r="G1684" s="5">
        <v>66</v>
      </c>
      <c r="H1684" s="5">
        <f t="shared" si="26"/>
        <v>132</v>
      </c>
    </row>
    <row r="1685" customFormat="1" hidden="1" spans="1:8">
      <c r="A1685" s="2">
        <v>46178</v>
      </c>
      <c r="B1685" s="3">
        <v>1609740</v>
      </c>
      <c r="C1685" s="3" t="s">
        <v>151</v>
      </c>
      <c r="D1685" s="4">
        <v>20407037</v>
      </c>
      <c r="E1685" s="3" t="s">
        <v>285</v>
      </c>
      <c r="F1685" s="4">
        <v>1</v>
      </c>
      <c r="G1685" s="5">
        <v>16.5</v>
      </c>
      <c r="H1685" s="5">
        <f t="shared" si="26"/>
        <v>16.5</v>
      </c>
    </row>
    <row r="1686" customFormat="1" hidden="1" spans="1:8">
      <c r="A1686" s="2">
        <v>46178</v>
      </c>
      <c r="B1686" s="3">
        <v>1609740</v>
      </c>
      <c r="C1686" s="3" t="s">
        <v>156</v>
      </c>
      <c r="D1686" s="4">
        <v>20402355</v>
      </c>
      <c r="E1686" s="3" t="s">
        <v>291</v>
      </c>
      <c r="F1686" s="4">
        <v>1</v>
      </c>
      <c r="G1686" s="5">
        <v>25</v>
      </c>
      <c r="H1686" s="5">
        <f t="shared" si="26"/>
        <v>25</v>
      </c>
    </row>
    <row r="1687" customFormat="1" hidden="1" spans="1:8">
      <c r="A1687" s="2">
        <v>46178</v>
      </c>
      <c r="B1687" s="3">
        <v>1609740</v>
      </c>
      <c r="C1687" s="3" t="s">
        <v>153</v>
      </c>
      <c r="D1687" s="4">
        <v>20318334</v>
      </c>
      <c r="E1687" s="3" t="s">
        <v>186</v>
      </c>
      <c r="F1687" s="4">
        <v>1</v>
      </c>
      <c r="G1687" s="5">
        <v>16.5</v>
      </c>
      <c r="H1687" s="5">
        <f t="shared" si="26"/>
        <v>16.5</v>
      </c>
    </row>
    <row r="1688" customFormat="1" hidden="1" spans="1:8">
      <c r="A1688" s="2">
        <v>46178</v>
      </c>
      <c r="B1688" s="3">
        <v>1609740</v>
      </c>
      <c r="C1688" s="3" t="s">
        <v>153</v>
      </c>
      <c r="D1688" s="4">
        <v>20318336</v>
      </c>
      <c r="E1688" s="3" t="s">
        <v>303</v>
      </c>
      <c r="F1688" s="4">
        <v>1</v>
      </c>
      <c r="G1688" s="5">
        <v>16.5</v>
      </c>
      <c r="H1688" s="5">
        <f t="shared" si="26"/>
        <v>16.5</v>
      </c>
    </row>
    <row r="1689" customFormat="1" hidden="1" spans="1:8">
      <c r="A1689" s="2">
        <v>46178</v>
      </c>
      <c r="B1689" s="3">
        <v>1609740</v>
      </c>
      <c r="C1689" s="3" t="s">
        <v>153</v>
      </c>
      <c r="D1689" s="4">
        <v>20322118</v>
      </c>
      <c r="E1689" s="3" t="s">
        <v>306</v>
      </c>
      <c r="F1689" s="4">
        <v>1</v>
      </c>
      <c r="G1689" s="5">
        <v>16.5</v>
      </c>
      <c r="H1689" s="5">
        <f t="shared" si="26"/>
        <v>16.5</v>
      </c>
    </row>
    <row r="1690" customFormat="1" hidden="1" spans="1:8">
      <c r="A1690" s="2">
        <v>46179</v>
      </c>
      <c r="B1690" s="3">
        <v>1609935</v>
      </c>
      <c r="C1690" s="3" t="s">
        <v>150</v>
      </c>
      <c r="D1690" s="4">
        <v>20428525</v>
      </c>
      <c r="E1690" s="3" t="s">
        <v>183</v>
      </c>
      <c r="F1690" s="4">
        <v>1</v>
      </c>
      <c r="G1690" s="5">
        <v>44</v>
      </c>
      <c r="H1690" s="5">
        <f t="shared" si="26"/>
        <v>44</v>
      </c>
    </row>
    <row r="1691" customFormat="1" hidden="1" spans="1:8">
      <c r="A1691" s="2">
        <v>46179</v>
      </c>
      <c r="B1691" s="3">
        <v>1609935</v>
      </c>
      <c r="C1691" s="3" t="s">
        <v>150</v>
      </c>
      <c r="D1691" s="4">
        <v>20312966</v>
      </c>
      <c r="E1691" s="3" t="s">
        <v>258</v>
      </c>
      <c r="F1691" s="4">
        <v>4</v>
      </c>
      <c r="G1691" s="5">
        <v>159.5</v>
      </c>
      <c r="H1691" s="5">
        <f t="shared" si="26"/>
        <v>638</v>
      </c>
    </row>
    <row r="1692" customFormat="1" hidden="1" spans="1:8">
      <c r="A1692" s="2">
        <v>46179</v>
      </c>
      <c r="B1692" s="3">
        <v>1609935</v>
      </c>
      <c r="C1692" s="3" t="s">
        <v>150</v>
      </c>
      <c r="D1692" s="4">
        <v>20312965</v>
      </c>
      <c r="E1692" s="3" t="s">
        <v>112</v>
      </c>
      <c r="F1692" s="4">
        <v>1</v>
      </c>
      <c r="G1692" s="5">
        <v>137.5</v>
      </c>
      <c r="H1692" s="5">
        <f t="shared" si="26"/>
        <v>137.5</v>
      </c>
    </row>
    <row r="1693" customFormat="1" hidden="1" spans="1:8">
      <c r="A1693" s="2">
        <v>46179</v>
      </c>
      <c r="B1693" s="3">
        <v>1609935</v>
      </c>
      <c r="C1693" s="3" t="s">
        <v>150</v>
      </c>
      <c r="D1693" s="4">
        <v>20312967</v>
      </c>
      <c r="E1693" s="3" t="s">
        <v>289</v>
      </c>
      <c r="F1693" s="4">
        <v>2</v>
      </c>
      <c r="G1693" s="5">
        <v>176</v>
      </c>
      <c r="H1693" s="5">
        <f t="shared" si="26"/>
        <v>352</v>
      </c>
    </row>
    <row r="1694" customFormat="1" hidden="1" spans="1:8">
      <c r="A1694" s="2">
        <v>46179</v>
      </c>
      <c r="B1694" s="3">
        <v>1609935</v>
      </c>
      <c r="C1694" s="3" t="s">
        <v>153</v>
      </c>
      <c r="D1694" s="4">
        <v>20321257</v>
      </c>
      <c r="E1694" s="3" t="s">
        <v>68</v>
      </c>
      <c r="F1694" s="4">
        <v>1</v>
      </c>
      <c r="G1694" s="5">
        <v>16.5</v>
      </c>
      <c r="H1694" s="5">
        <f t="shared" si="26"/>
        <v>16.5</v>
      </c>
    </row>
    <row r="1695" customFormat="1" hidden="1" spans="1:8">
      <c r="A1695" s="2">
        <v>46179</v>
      </c>
      <c r="B1695" s="3">
        <v>1609935</v>
      </c>
      <c r="C1695" s="3" t="s">
        <v>153</v>
      </c>
      <c r="D1695" s="4">
        <v>20321250</v>
      </c>
      <c r="E1695" s="3" t="s">
        <v>259</v>
      </c>
      <c r="F1695" s="4">
        <v>3</v>
      </c>
      <c r="G1695" s="5">
        <v>16.5</v>
      </c>
      <c r="H1695" s="5">
        <f t="shared" si="26"/>
        <v>49.5</v>
      </c>
    </row>
    <row r="1696" customFormat="1" hidden="1" spans="1:8">
      <c r="A1696" s="2">
        <v>46179</v>
      </c>
      <c r="B1696" s="3">
        <v>1609935</v>
      </c>
      <c r="C1696" s="3" t="s">
        <v>153</v>
      </c>
      <c r="D1696" s="4">
        <v>20383164</v>
      </c>
      <c r="E1696" s="3" t="s">
        <v>273</v>
      </c>
      <c r="F1696" s="4">
        <v>1</v>
      </c>
      <c r="G1696" s="5">
        <v>22</v>
      </c>
      <c r="H1696" s="5">
        <f t="shared" si="26"/>
        <v>22</v>
      </c>
    </row>
    <row r="1697" customFormat="1" hidden="1" spans="1:8">
      <c r="A1697" s="2">
        <v>46179</v>
      </c>
      <c r="B1697" s="3">
        <v>1609935</v>
      </c>
      <c r="C1697" s="3" t="s">
        <v>153</v>
      </c>
      <c r="D1697" s="4">
        <v>20318336</v>
      </c>
      <c r="E1697" s="3" t="s">
        <v>303</v>
      </c>
      <c r="F1697" s="4">
        <v>1</v>
      </c>
      <c r="G1697" s="5">
        <v>16.5</v>
      </c>
      <c r="H1697" s="5">
        <f t="shared" si="26"/>
        <v>16.5</v>
      </c>
    </row>
    <row r="1698" customFormat="1" hidden="1" spans="1:8">
      <c r="A1698" s="2">
        <v>46179</v>
      </c>
      <c r="B1698" s="3">
        <v>1609939</v>
      </c>
      <c r="C1698" s="3" t="s">
        <v>150</v>
      </c>
      <c r="D1698" s="4">
        <v>20312966</v>
      </c>
      <c r="E1698" s="3" t="s">
        <v>258</v>
      </c>
      <c r="F1698" s="4">
        <v>4</v>
      </c>
      <c r="G1698" s="5">
        <v>159.5</v>
      </c>
      <c r="H1698" s="5">
        <f t="shared" si="26"/>
        <v>638</v>
      </c>
    </row>
    <row r="1699" customFormat="1" hidden="1" spans="1:8">
      <c r="A1699" s="2">
        <v>46179</v>
      </c>
      <c r="B1699" s="3">
        <v>1609939</v>
      </c>
      <c r="C1699" s="3" t="s">
        <v>150</v>
      </c>
      <c r="D1699" s="4">
        <v>20327195</v>
      </c>
      <c r="E1699" s="3" t="s">
        <v>268</v>
      </c>
      <c r="F1699" s="4">
        <v>1</v>
      </c>
      <c r="G1699" s="5">
        <v>44</v>
      </c>
      <c r="H1699" s="5">
        <f t="shared" si="26"/>
        <v>44</v>
      </c>
    </row>
    <row r="1700" customFormat="1" hidden="1" spans="1:8">
      <c r="A1700" s="2">
        <v>46179</v>
      </c>
      <c r="B1700" s="3">
        <v>1609939</v>
      </c>
      <c r="C1700" s="3" t="s">
        <v>150</v>
      </c>
      <c r="D1700" s="4">
        <v>20312965</v>
      </c>
      <c r="E1700" s="3" t="s">
        <v>112</v>
      </c>
      <c r="F1700" s="4">
        <v>3</v>
      </c>
      <c r="G1700" s="5">
        <v>137.5</v>
      </c>
      <c r="H1700" s="5">
        <f t="shared" si="26"/>
        <v>412.5</v>
      </c>
    </row>
    <row r="1701" customFormat="1" hidden="1" spans="1:8">
      <c r="A1701" s="2">
        <v>46179</v>
      </c>
      <c r="B1701" s="3">
        <v>1609939</v>
      </c>
      <c r="C1701" s="3" t="s">
        <v>150</v>
      </c>
      <c r="D1701" s="4">
        <v>20312967</v>
      </c>
      <c r="E1701" s="3" t="s">
        <v>289</v>
      </c>
      <c r="F1701" s="4">
        <v>1</v>
      </c>
      <c r="G1701" s="5">
        <v>176</v>
      </c>
      <c r="H1701" s="5">
        <f t="shared" si="26"/>
        <v>176</v>
      </c>
    </row>
    <row r="1702" customFormat="1" hidden="1" spans="1:8">
      <c r="A1702" s="2">
        <v>46179</v>
      </c>
      <c r="B1702" s="3">
        <v>1609939</v>
      </c>
      <c r="C1702" s="3" t="s">
        <v>150</v>
      </c>
      <c r="D1702" s="4">
        <v>20424417</v>
      </c>
      <c r="E1702" s="3" t="s">
        <v>312</v>
      </c>
      <c r="F1702" s="4">
        <v>1</v>
      </c>
      <c r="G1702" s="5">
        <v>66</v>
      </c>
      <c r="H1702" s="5">
        <f t="shared" si="26"/>
        <v>66</v>
      </c>
    </row>
    <row r="1703" customFormat="1" ht="25.5" hidden="1" spans="1:8">
      <c r="A1703" s="2">
        <v>46179</v>
      </c>
      <c r="B1703" s="3">
        <v>1609939</v>
      </c>
      <c r="C1703" s="3" t="s">
        <v>154</v>
      </c>
      <c r="D1703" s="4">
        <v>20326338</v>
      </c>
      <c r="E1703" s="3" t="s">
        <v>269</v>
      </c>
      <c r="F1703" s="4">
        <v>1</v>
      </c>
      <c r="G1703" s="5">
        <v>55</v>
      </c>
      <c r="H1703" s="5">
        <f t="shared" si="26"/>
        <v>55</v>
      </c>
    </row>
    <row r="1704" customFormat="1" hidden="1" spans="1:8">
      <c r="A1704" s="2">
        <v>46179</v>
      </c>
      <c r="B1704" s="3">
        <v>1609939</v>
      </c>
      <c r="C1704" s="3" t="s">
        <v>154</v>
      </c>
      <c r="D1704" s="4">
        <v>20322353</v>
      </c>
      <c r="E1704" s="3" t="s">
        <v>297</v>
      </c>
      <c r="F1704" s="4">
        <v>1</v>
      </c>
      <c r="G1704" s="5">
        <v>71.5</v>
      </c>
      <c r="H1704" s="5">
        <f t="shared" si="26"/>
        <v>71.5</v>
      </c>
    </row>
    <row r="1705" customFormat="1" hidden="1" spans="1:8">
      <c r="A1705" s="2">
        <v>46179</v>
      </c>
      <c r="B1705" s="3">
        <v>1609939</v>
      </c>
      <c r="C1705" s="3" t="s">
        <v>156</v>
      </c>
      <c r="D1705" s="4">
        <v>20322243</v>
      </c>
      <c r="E1705" s="3" t="s">
        <v>117</v>
      </c>
      <c r="F1705" s="4">
        <v>2</v>
      </c>
      <c r="G1705" s="5">
        <v>30</v>
      </c>
      <c r="H1705" s="5">
        <f t="shared" si="26"/>
        <v>60</v>
      </c>
    </row>
    <row r="1706" customFormat="1" hidden="1" spans="1:8">
      <c r="A1706" s="2">
        <v>46179</v>
      </c>
      <c r="B1706" s="3">
        <v>1609939</v>
      </c>
      <c r="C1706" s="3" t="s">
        <v>156</v>
      </c>
      <c r="D1706" s="4">
        <v>20322304</v>
      </c>
      <c r="E1706" s="3" t="s">
        <v>275</v>
      </c>
      <c r="F1706" s="4">
        <v>4</v>
      </c>
      <c r="G1706" s="5">
        <v>25</v>
      </c>
      <c r="H1706" s="5">
        <f t="shared" si="26"/>
        <v>100</v>
      </c>
    </row>
    <row r="1707" customFormat="1" hidden="1" spans="1:8">
      <c r="A1707" s="2">
        <v>46179</v>
      </c>
      <c r="B1707" s="3">
        <v>1609939</v>
      </c>
      <c r="C1707" s="3" t="s">
        <v>156</v>
      </c>
      <c r="D1707" s="4">
        <v>20330757</v>
      </c>
      <c r="E1707" s="3" t="s">
        <v>288</v>
      </c>
      <c r="F1707" s="4">
        <v>1</v>
      </c>
      <c r="G1707" s="5">
        <v>35</v>
      </c>
      <c r="H1707" s="5">
        <f t="shared" si="26"/>
        <v>35</v>
      </c>
    </row>
    <row r="1708" customFormat="1" hidden="1" spans="1:8">
      <c r="A1708" s="2">
        <v>46179</v>
      </c>
      <c r="B1708" s="3">
        <v>1609939</v>
      </c>
      <c r="C1708" s="3" t="s">
        <v>152</v>
      </c>
      <c r="D1708" s="4">
        <v>20340286</v>
      </c>
      <c r="E1708" s="3" t="s">
        <v>169</v>
      </c>
      <c r="F1708" s="4">
        <v>1</v>
      </c>
      <c r="G1708" s="5">
        <v>55</v>
      </c>
      <c r="H1708" s="5">
        <f t="shared" si="26"/>
        <v>55</v>
      </c>
    </row>
    <row r="1709" customFormat="1" hidden="1" spans="1:8">
      <c r="A1709" s="2">
        <v>46179</v>
      </c>
      <c r="B1709" s="3">
        <v>1609939</v>
      </c>
      <c r="C1709" s="3" t="s">
        <v>153</v>
      </c>
      <c r="D1709" s="4">
        <v>20321257</v>
      </c>
      <c r="E1709" s="3" t="s">
        <v>68</v>
      </c>
      <c r="F1709" s="4">
        <v>13</v>
      </c>
      <c r="G1709" s="5">
        <v>16.5</v>
      </c>
      <c r="H1709" s="5">
        <f t="shared" si="26"/>
        <v>214.5</v>
      </c>
    </row>
    <row r="1710" customFormat="1" hidden="1" spans="1:8">
      <c r="A1710" s="2">
        <v>46179</v>
      </c>
      <c r="B1710" s="3">
        <v>1609939</v>
      </c>
      <c r="C1710" s="3" t="s">
        <v>153</v>
      </c>
      <c r="D1710" s="4">
        <v>20318361</v>
      </c>
      <c r="E1710" s="3" t="s">
        <v>185</v>
      </c>
      <c r="F1710" s="4">
        <v>1</v>
      </c>
      <c r="G1710" s="5">
        <v>16.5</v>
      </c>
      <c r="H1710" s="5">
        <f t="shared" si="26"/>
        <v>16.5</v>
      </c>
    </row>
    <row r="1711" customFormat="1" hidden="1" spans="1:8">
      <c r="A1711" s="2">
        <v>46179</v>
      </c>
      <c r="B1711" s="3">
        <v>1609939</v>
      </c>
      <c r="C1711" s="3" t="s">
        <v>153</v>
      </c>
      <c r="D1711" s="4">
        <v>20318375</v>
      </c>
      <c r="E1711" s="3" t="s">
        <v>81</v>
      </c>
      <c r="F1711" s="4">
        <v>1</v>
      </c>
      <c r="G1711" s="5">
        <v>16.5</v>
      </c>
      <c r="H1711" s="5">
        <f t="shared" si="26"/>
        <v>16.5</v>
      </c>
    </row>
    <row r="1712" customFormat="1" hidden="1" spans="1:8">
      <c r="A1712" s="2">
        <v>46179</v>
      </c>
      <c r="B1712" s="3">
        <v>1609939</v>
      </c>
      <c r="C1712" s="3" t="s">
        <v>153</v>
      </c>
      <c r="D1712" s="4">
        <v>20318378</v>
      </c>
      <c r="E1712" s="3" t="s">
        <v>231</v>
      </c>
      <c r="F1712" s="4">
        <v>1</v>
      </c>
      <c r="G1712" s="5">
        <v>16.5</v>
      </c>
      <c r="H1712" s="5">
        <f t="shared" si="26"/>
        <v>16.5</v>
      </c>
    </row>
    <row r="1713" customFormat="1" hidden="1" spans="1:8">
      <c r="A1713" s="2">
        <v>46179</v>
      </c>
      <c r="B1713" s="3">
        <v>1609939</v>
      </c>
      <c r="C1713" s="3" t="s">
        <v>153</v>
      </c>
      <c r="D1713" s="4">
        <v>20318380</v>
      </c>
      <c r="E1713" s="3" t="s">
        <v>232</v>
      </c>
      <c r="F1713" s="4">
        <v>1</v>
      </c>
      <c r="G1713" s="5">
        <v>16.5</v>
      </c>
      <c r="H1713" s="5">
        <f t="shared" si="26"/>
        <v>16.5</v>
      </c>
    </row>
    <row r="1714" customFormat="1" hidden="1" spans="1:8">
      <c r="A1714" s="2">
        <v>46179</v>
      </c>
      <c r="B1714" s="3">
        <v>1609939</v>
      </c>
      <c r="C1714" s="3" t="s">
        <v>153</v>
      </c>
      <c r="D1714" s="4">
        <v>20318340</v>
      </c>
      <c r="E1714" s="3" t="s">
        <v>240</v>
      </c>
      <c r="F1714" s="4">
        <v>1</v>
      </c>
      <c r="G1714" s="5">
        <v>16.5</v>
      </c>
      <c r="H1714" s="5">
        <f t="shared" si="26"/>
        <v>16.5</v>
      </c>
    </row>
    <row r="1715" customFormat="1" hidden="1" spans="1:8">
      <c r="A1715" s="2">
        <v>46179</v>
      </c>
      <c r="B1715" s="3">
        <v>1609939</v>
      </c>
      <c r="C1715" s="3" t="s">
        <v>153</v>
      </c>
      <c r="D1715" s="4">
        <v>20318336</v>
      </c>
      <c r="E1715" s="3" t="s">
        <v>303</v>
      </c>
      <c r="F1715" s="4">
        <v>1</v>
      </c>
      <c r="G1715" s="5">
        <v>16.5</v>
      </c>
      <c r="H1715" s="5">
        <f t="shared" si="26"/>
        <v>16.5</v>
      </c>
    </row>
    <row r="1716" customFormat="1" hidden="1" spans="1:8">
      <c r="A1716" s="2">
        <v>46179</v>
      </c>
      <c r="B1716" s="3">
        <v>1609941</v>
      </c>
      <c r="C1716" s="3" t="s">
        <v>150</v>
      </c>
      <c r="D1716" s="4">
        <v>20321719</v>
      </c>
      <c r="E1716" s="3" t="s">
        <v>163</v>
      </c>
      <c r="F1716" s="4">
        <v>1</v>
      </c>
      <c r="G1716" s="5">
        <v>49.5</v>
      </c>
      <c r="H1716" s="5">
        <f t="shared" si="26"/>
        <v>49.5</v>
      </c>
    </row>
    <row r="1717" customFormat="1" hidden="1" spans="1:8">
      <c r="A1717" s="2">
        <v>46179</v>
      </c>
      <c r="B1717" s="3">
        <v>1609985</v>
      </c>
      <c r="C1717" s="3" t="s">
        <v>150</v>
      </c>
      <c r="D1717" s="4">
        <v>20321252</v>
      </c>
      <c r="E1717" s="3" t="s">
        <v>162</v>
      </c>
      <c r="F1717" s="4">
        <v>1</v>
      </c>
      <c r="G1717" s="5">
        <v>49.5</v>
      </c>
      <c r="H1717" s="5">
        <f t="shared" si="26"/>
        <v>49.5</v>
      </c>
    </row>
    <row r="1718" customFormat="1" hidden="1" spans="1:8">
      <c r="A1718" s="2">
        <v>46179</v>
      </c>
      <c r="B1718" s="3">
        <v>1609985</v>
      </c>
      <c r="C1718" s="3" t="s">
        <v>150</v>
      </c>
      <c r="D1718" s="4">
        <v>20312966</v>
      </c>
      <c r="E1718" s="3" t="s">
        <v>258</v>
      </c>
      <c r="F1718" s="4">
        <v>5</v>
      </c>
      <c r="G1718" s="5">
        <v>159.5</v>
      </c>
      <c r="H1718" s="5">
        <f t="shared" si="26"/>
        <v>797.5</v>
      </c>
    </row>
    <row r="1719" customFormat="1" hidden="1" spans="1:8">
      <c r="A1719" s="2">
        <v>46179</v>
      </c>
      <c r="B1719" s="3">
        <v>1609985</v>
      </c>
      <c r="C1719" s="3" t="s">
        <v>150</v>
      </c>
      <c r="D1719" s="4">
        <v>20312965</v>
      </c>
      <c r="E1719" s="3" t="s">
        <v>112</v>
      </c>
      <c r="F1719" s="4">
        <v>2</v>
      </c>
      <c r="G1719" s="5">
        <v>137.5</v>
      </c>
      <c r="H1719" s="5">
        <f t="shared" si="26"/>
        <v>275</v>
      </c>
    </row>
    <row r="1720" customFormat="1" hidden="1" spans="1:8">
      <c r="A1720" s="2">
        <v>46179</v>
      </c>
      <c r="B1720" s="3">
        <v>1609985</v>
      </c>
      <c r="C1720" s="3" t="s">
        <v>150</v>
      </c>
      <c r="D1720" s="4">
        <v>20312968</v>
      </c>
      <c r="E1720" s="3" t="s">
        <v>276</v>
      </c>
      <c r="F1720" s="4">
        <v>1</v>
      </c>
      <c r="G1720" s="5">
        <v>187</v>
      </c>
      <c r="H1720" s="5">
        <f t="shared" si="26"/>
        <v>187</v>
      </c>
    </row>
    <row r="1721" customFormat="1" hidden="1" spans="1:8">
      <c r="A1721" s="2">
        <v>46179</v>
      </c>
      <c r="B1721" s="3">
        <v>1609985</v>
      </c>
      <c r="C1721" s="3" t="s">
        <v>150</v>
      </c>
      <c r="D1721" s="4">
        <v>20312967</v>
      </c>
      <c r="E1721" s="3" t="s">
        <v>289</v>
      </c>
      <c r="F1721" s="4">
        <v>7</v>
      </c>
      <c r="G1721" s="5">
        <v>176</v>
      </c>
      <c r="H1721" s="5">
        <f t="shared" si="26"/>
        <v>1232</v>
      </c>
    </row>
    <row r="1722" customFormat="1" hidden="1" spans="1:8">
      <c r="A1722" s="2">
        <v>46179</v>
      </c>
      <c r="B1722" s="3">
        <v>1609985</v>
      </c>
      <c r="C1722" s="3" t="s">
        <v>150</v>
      </c>
      <c r="D1722" s="4">
        <v>20424417</v>
      </c>
      <c r="E1722" s="3" t="s">
        <v>312</v>
      </c>
      <c r="F1722" s="4">
        <v>2</v>
      </c>
      <c r="G1722" s="5">
        <v>66</v>
      </c>
      <c r="H1722" s="5">
        <f t="shared" si="26"/>
        <v>132</v>
      </c>
    </row>
    <row r="1723" customFormat="1" hidden="1" spans="1:8">
      <c r="A1723" s="2">
        <v>46179</v>
      </c>
      <c r="B1723" s="3">
        <v>1609985</v>
      </c>
      <c r="C1723" s="3" t="s">
        <v>151</v>
      </c>
      <c r="D1723" s="4">
        <v>20398516</v>
      </c>
      <c r="E1723" s="3" t="s">
        <v>184</v>
      </c>
      <c r="F1723" s="4">
        <v>1</v>
      </c>
      <c r="G1723" s="5">
        <v>13.5</v>
      </c>
      <c r="H1723" s="5">
        <f t="shared" si="26"/>
        <v>13.5</v>
      </c>
    </row>
    <row r="1724" customFormat="1" hidden="1" spans="1:8">
      <c r="A1724" s="2">
        <v>46179</v>
      </c>
      <c r="B1724" s="3">
        <v>1609985</v>
      </c>
      <c r="C1724" s="3" t="s">
        <v>151</v>
      </c>
      <c r="D1724" s="4">
        <v>20337609</v>
      </c>
      <c r="E1724" s="3" t="s">
        <v>267</v>
      </c>
      <c r="F1724" s="4">
        <v>2</v>
      </c>
      <c r="G1724" s="5">
        <v>8</v>
      </c>
      <c r="H1724" s="5">
        <f t="shared" si="26"/>
        <v>16</v>
      </c>
    </row>
    <row r="1725" customFormat="1" hidden="1" spans="1:8">
      <c r="A1725" s="2">
        <v>46179</v>
      </c>
      <c r="B1725" s="3">
        <v>1609985</v>
      </c>
      <c r="C1725" s="3" t="s">
        <v>151</v>
      </c>
      <c r="D1725" s="4">
        <v>20318250</v>
      </c>
      <c r="E1725" s="3" t="s">
        <v>113</v>
      </c>
      <c r="F1725" s="4">
        <v>1</v>
      </c>
      <c r="G1725" s="5">
        <v>8</v>
      </c>
      <c r="H1725" s="5">
        <f t="shared" si="26"/>
        <v>8</v>
      </c>
    </row>
    <row r="1726" customFormat="1" hidden="1" spans="1:8">
      <c r="A1726" s="2">
        <v>46179</v>
      </c>
      <c r="B1726" s="3">
        <v>1609985</v>
      </c>
      <c r="C1726" s="3" t="s">
        <v>151</v>
      </c>
      <c r="D1726" s="4">
        <v>20340288</v>
      </c>
      <c r="E1726" s="3" t="s">
        <v>282</v>
      </c>
      <c r="F1726" s="4">
        <v>1</v>
      </c>
      <c r="G1726" s="5">
        <v>22</v>
      </c>
      <c r="H1726" s="5">
        <f t="shared" si="26"/>
        <v>22</v>
      </c>
    </row>
    <row r="1727" customFormat="1" hidden="1" spans="1:8">
      <c r="A1727" s="2">
        <v>46179</v>
      </c>
      <c r="B1727" s="3">
        <v>1609985</v>
      </c>
      <c r="C1727" s="3" t="s">
        <v>152</v>
      </c>
      <c r="D1727" s="4">
        <v>20340286</v>
      </c>
      <c r="E1727" s="3" t="s">
        <v>169</v>
      </c>
      <c r="F1727" s="4">
        <v>2</v>
      </c>
      <c r="G1727" s="5">
        <v>55</v>
      </c>
      <c r="H1727" s="5">
        <f t="shared" si="26"/>
        <v>110</v>
      </c>
    </row>
    <row r="1728" customFormat="1" hidden="1" spans="1:8">
      <c r="A1728" s="2">
        <v>46179</v>
      </c>
      <c r="B1728" s="3">
        <v>1609985</v>
      </c>
      <c r="C1728" s="3" t="s">
        <v>153</v>
      </c>
      <c r="D1728" s="4">
        <v>20329844</v>
      </c>
      <c r="E1728" s="3" t="s">
        <v>70</v>
      </c>
      <c r="F1728" s="4">
        <v>1</v>
      </c>
      <c r="G1728" s="5">
        <v>16.5</v>
      </c>
      <c r="H1728" s="5">
        <f t="shared" si="26"/>
        <v>16.5</v>
      </c>
    </row>
    <row r="1729" customFormat="1" hidden="1" spans="1:8">
      <c r="A1729" s="2">
        <v>46179</v>
      </c>
      <c r="B1729" s="3">
        <v>1609985</v>
      </c>
      <c r="C1729" s="3" t="s">
        <v>153</v>
      </c>
      <c r="D1729" s="4">
        <v>20318361</v>
      </c>
      <c r="E1729" s="3" t="s">
        <v>185</v>
      </c>
      <c r="F1729" s="4">
        <v>1</v>
      </c>
      <c r="G1729" s="5">
        <v>16.5</v>
      </c>
      <c r="H1729" s="5">
        <f t="shared" si="26"/>
        <v>16.5</v>
      </c>
    </row>
    <row r="1730" customFormat="1" hidden="1" spans="1:8">
      <c r="A1730" s="2">
        <v>46179</v>
      </c>
      <c r="B1730" s="3">
        <v>1609985</v>
      </c>
      <c r="C1730" s="3" t="s">
        <v>153</v>
      </c>
      <c r="D1730" s="4">
        <v>20363041</v>
      </c>
      <c r="E1730" s="3" t="s">
        <v>187</v>
      </c>
      <c r="F1730" s="4">
        <v>3</v>
      </c>
      <c r="G1730" s="5">
        <v>16.5</v>
      </c>
      <c r="H1730" s="5">
        <f t="shared" ref="H1730:H1793" si="27">G1730*F1730</f>
        <v>49.5</v>
      </c>
    </row>
    <row r="1731" customFormat="1" hidden="1" spans="1:8">
      <c r="A1731" s="2">
        <v>46179</v>
      </c>
      <c r="B1731" s="3">
        <v>1609985</v>
      </c>
      <c r="C1731" s="3" t="s">
        <v>153</v>
      </c>
      <c r="D1731" s="4">
        <v>20318380</v>
      </c>
      <c r="E1731" s="3" t="s">
        <v>232</v>
      </c>
      <c r="F1731" s="4">
        <v>1</v>
      </c>
      <c r="G1731" s="5">
        <v>16.5</v>
      </c>
      <c r="H1731" s="5">
        <f t="shared" si="27"/>
        <v>16.5</v>
      </c>
    </row>
    <row r="1732" customFormat="1" hidden="1" spans="1:8">
      <c r="A1732" s="2">
        <v>46179</v>
      </c>
      <c r="B1732" s="3">
        <v>1609985</v>
      </c>
      <c r="C1732" s="3" t="s">
        <v>153</v>
      </c>
      <c r="D1732" s="4">
        <v>20318340</v>
      </c>
      <c r="E1732" s="3" t="s">
        <v>240</v>
      </c>
      <c r="F1732" s="4">
        <v>1</v>
      </c>
      <c r="G1732" s="5">
        <v>16.5</v>
      </c>
      <c r="H1732" s="5">
        <f t="shared" si="27"/>
        <v>16.5</v>
      </c>
    </row>
    <row r="1733" customFormat="1" hidden="1" spans="1:8">
      <c r="A1733" s="2">
        <v>46179</v>
      </c>
      <c r="B1733" s="3">
        <v>1609985</v>
      </c>
      <c r="C1733" s="3" t="s">
        <v>153</v>
      </c>
      <c r="D1733" s="4">
        <v>20321250</v>
      </c>
      <c r="E1733" s="3" t="s">
        <v>259</v>
      </c>
      <c r="F1733" s="4">
        <v>1</v>
      </c>
      <c r="G1733" s="5">
        <v>16.5</v>
      </c>
      <c r="H1733" s="5">
        <f t="shared" si="27"/>
        <v>16.5</v>
      </c>
    </row>
    <row r="1734" customFormat="1" hidden="1" spans="1:8">
      <c r="A1734" s="2">
        <v>46179</v>
      </c>
      <c r="B1734" s="3">
        <v>1609985</v>
      </c>
      <c r="C1734" s="3" t="s">
        <v>153</v>
      </c>
      <c r="D1734" s="4">
        <v>20340289</v>
      </c>
      <c r="E1734" s="3" t="s">
        <v>272</v>
      </c>
      <c r="F1734" s="4">
        <v>1</v>
      </c>
      <c r="G1734" s="5">
        <v>16.5</v>
      </c>
      <c r="H1734" s="5">
        <f t="shared" si="27"/>
        <v>16.5</v>
      </c>
    </row>
    <row r="1735" customFormat="1" hidden="1" spans="1:8">
      <c r="A1735" s="2">
        <v>46179</v>
      </c>
      <c r="B1735" s="3">
        <v>1609985</v>
      </c>
      <c r="C1735" s="3" t="s">
        <v>153</v>
      </c>
      <c r="D1735" s="4">
        <v>20383164</v>
      </c>
      <c r="E1735" s="3" t="s">
        <v>273</v>
      </c>
      <c r="F1735" s="4">
        <v>1</v>
      </c>
      <c r="G1735" s="5">
        <v>22</v>
      </c>
      <c r="H1735" s="5">
        <f t="shared" si="27"/>
        <v>22</v>
      </c>
    </row>
    <row r="1736" customFormat="1" hidden="1" spans="1:8">
      <c r="A1736" s="2">
        <v>46179</v>
      </c>
      <c r="B1736" s="3">
        <v>1609985</v>
      </c>
      <c r="C1736" s="3" t="s">
        <v>153</v>
      </c>
      <c r="D1736" s="4">
        <v>20318379</v>
      </c>
      <c r="E1736" s="3" t="s">
        <v>127</v>
      </c>
      <c r="F1736" s="4">
        <v>1</v>
      </c>
      <c r="G1736" s="5">
        <v>16.5</v>
      </c>
      <c r="H1736" s="5">
        <f t="shared" si="27"/>
        <v>16.5</v>
      </c>
    </row>
    <row r="1737" customFormat="1" hidden="1" spans="1:8">
      <c r="A1737" s="2">
        <v>46179</v>
      </c>
      <c r="B1737" s="3">
        <v>1609985</v>
      </c>
      <c r="C1737" s="3" t="s">
        <v>153</v>
      </c>
      <c r="D1737" s="4">
        <v>20318389</v>
      </c>
      <c r="E1737" s="3" t="s">
        <v>302</v>
      </c>
      <c r="F1737" s="4">
        <v>1</v>
      </c>
      <c r="G1737" s="5">
        <v>16.5</v>
      </c>
      <c r="H1737" s="5">
        <f t="shared" si="27"/>
        <v>16.5</v>
      </c>
    </row>
    <row r="1738" customFormat="1" hidden="1" spans="1:8">
      <c r="A1738" s="2">
        <v>46179</v>
      </c>
      <c r="B1738" s="3">
        <v>1609985</v>
      </c>
      <c r="C1738" s="3" t="s">
        <v>153</v>
      </c>
      <c r="D1738" s="4">
        <v>20318342</v>
      </c>
      <c r="E1738" s="3" t="s">
        <v>304</v>
      </c>
      <c r="F1738" s="4">
        <v>2</v>
      </c>
      <c r="G1738" s="5">
        <v>16.5</v>
      </c>
      <c r="H1738" s="5">
        <f t="shared" si="27"/>
        <v>33</v>
      </c>
    </row>
    <row r="1739" customFormat="1" hidden="1" spans="1:8">
      <c r="A1739" s="2">
        <v>46179</v>
      </c>
      <c r="B1739" s="3">
        <v>1609985</v>
      </c>
      <c r="C1739" s="3" t="s">
        <v>153</v>
      </c>
      <c r="D1739" s="4">
        <v>20322118</v>
      </c>
      <c r="E1739" s="3" t="s">
        <v>306</v>
      </c>
      <c r="F1739" s="4">
        <v>1</v>
      </c>
      <c r="G1739" s="5">
        <v>16.5</v>
      </c>
      <c r="H1739" s="5">
        <f t="shared" si="27"/>
        <v>16.5</v>
      </c>
    </row>
    <row r="1740" customFormat="1" hidden="1" spans="1:8">
      <c r="A1740" s="2">
        <v>46180</v>
      </c>
      <c r="B1740" s="3">
        <v>1610037</v>
      </c>
      <c r="C1740" s="3" t="s">
        <v>156</v>
      </c>
      <c r="D1740" s="4">
        <v>20322235</v>
      </c>
      <c r="E1740" s="3" t="s">
        <v>111</v>
      </c>
      <c r="F1740" s="4">
        <v>2</v>
      </c>
      <c r="G1740" s="5">
        <v>2.5</v>
      </c>
      <c r="H1740" s="5">
        <f t="shared" si="27"/>
        <v>5</v>
      </c>
    </row>
    <row r="1741" customFormat="1" hidden="1" spans="1:8">
      <c r="A1741" s="2">
        <v>46180</v>
      </c>
      <c r="B1741" s="3">
        <v>1610037</v>
      </c>
      <c r="C1741" s="3" t="s">
        <v>156</v>
      </c>
      <c r="D1741" s="4">
        <v>20322234</v>
      </c>
      <c r="E1741" s="3" t="s">
        <v>274</v>
      </c>
      <c r="F1741" s="4">
        <v>3</v>
      </c>
      <c r="G1741" s="5">
        <v>2.5</v>
      </c>
      <c r="H1741" s="5">
        <f t="shared" si="27"/>
        <v>7.5</v>
      </c>
    </row>
    <row r="1742" customFormat="1" hidden="1" spans="1:8">
      <c r="A1742" s="2">
        <v>46180</v>
      </c>
      <c r="B1742" s="3">
        <v>1610037</v>
      </c>
      <c r="C1742" s="3" t="s">
        <v>156</v>
      </c>
      <c r="D1742" s="4">
        <v>20331736</v>
      </c>
      <c r="E1742" s="3" t="s">
        <v>287</v>
      </c>
      <c r="F1742" s="4">
        <v>4</v>
      </c>
      <c r="G1742" s="5">
        <v>25</v>
      </c>
      <c r="H1742" s="5">
        <f t="shared" si="27"/>
        <v>100</v>
      </c>
    </row>
    <row r="1743" customFormat="1" hidden="1" spans="1:8">
      <c r="A1743" s="2">
        <v>46180</v>
      </c>
      <c r="B1743" s="3">
        <v>1610037</v>
      </c>
      <c r="C1743" s="3" t="s">
        <v>156</v>
      </c>
      <c r="D1743" s="4">
        <v>20330757</v>
      </c>
      <c r="E1743" s="3" t="s">
        <v>288</v>
      </c>
      <c r="F1743" s="4">
        <v>3</v>
      </c>
      <c r="G1743" s="5">
        <v>35</v>
      </c>
      <c r="H1743" s="5">
        <f t="shared" si="27"/>
        <v>105</v>
      </c>
    </row>
    <row r="1744" customFormat="1" hidden="1" spans="1:8">
      <c r="A1744" s="2">
        <v>46181</v>
      </c>
      <c r="B1744" s="3">
        <v>1610095</v>
      </c>
      <c r="C1744" s="3" t="s">
        <v>150</v>
      </c>
      <c r="D1744" s="4">
        <v>20426377</v>
      </c>
      <c r="E1744" s="3" t="s">
        <v>256</v>
      </c>
      <c r="F1744" s="4">
        <v>1</v>
      </c>
      <c r="G1744" s="5">
        <v>121</v>
      </c>
      <c r="H1744" s="5">
        <f t="shared" si="27"/>
        <v>121</v>
      </c>
    </row>
    <row r="1745" customFormat="1" hidden="1" spans="1:8">
      <c r="A1745" s="2">
        <v>46181</v>
      </c>
      <c r="B1745" s="3">
        <v>1610095</v>
      </c>
      <c r="C1745" s="3" t="s">
        <v>150</v>
      </c>
      <c r="D1745" s="4">
        <v>20426378</v>
      </c>
      <c r="E1745" s="3" t="s">
        <v>257</v>
      </c>
      <c r="F1745" s="4">
        <v>1</v>
      </c>
      <c r="G1745" s="5">
        <v>22</v>
      </c>
      <c r="H1745" s="5">
        <f t="shared" si="27"/>
        <v>22</v>
      </c>
    </row>
    <row r="1746" customFormat="1" hidden="1" spans="1:8">
      <c r="A1746" s="2">
        <v>46181</v>
      </c>
      <c r="B1746" s="3">
        <v>1610095</v>
      </c>
      <c r="C1746" s="3" t="s">
        <v>156</v>
      </c>
      <c r="D1746" s="4">
        <v>20322304</v>
      </c>
      <c r="E1746" s="3" t="s">
        <v>275</v>
      </c>
      <c r="F1746" s="4">
        <v>6</v>
      </c>
      <c r="G1746" s="5">
        <v>25</v>
      </c>
      <c r="H1746" s="5">
        <f t="shared" si="27"/>
        <v>150</v>
      </c>
    </row>
    <row r="1747" customFormat="1" hidden="1" spans="1:8">
      <c r="A1747" s="2">
        <v>46181</v>
      </c>
      <c r="B1747" s="3">
        <v>1610127</v>
      </c>
      <c r="C1747" s="3" t="s">
        <v>150</v>
      </c>
      <c r="D1747" s="4">
        <v>20321719</v>
      </c>
      <c r="E1747" s="3" t="s">
        <v>163</v>
      </c>
      <c r="F1747" s="4">
        <v>1</v>
      </c>
      <c r="G1747" s="5">
        <v>49.5</v>
      </c>
      <c r="H1747" s="5">
        <f t="shared" si="27"/>
        <v>49.5</v>
      </c>
    </row>
    <row r="1748" customFormat="1" hidden="1" spans="1:8">
      <c r="A1748" s="2">
        <v>46181</v>
      </c>
      <c r="B1748" s="3">
        <v>1610127</v>
      </c>
      <c r="C1748" s="3" t="s">
        <v>150</v>
      </c>
      <c r="D1748" s="4">
        <v>20312967</v>
      </c>
      <c r="E1748" s="3" t="s">
        <v>289</v>
      </c>
      <c r="F1748" s="4">
        <v>5</v>
      </c>
      <c r="G1748" s="5">
        <v>176</v>
      </c>
      <c r="H1748" s="5">
        <f t="shared" si="27"/>
        <v>880</v>
      </c>
    </row>
    <row r="1749" customFormat="1" hidden="1" spans="1:8">
      <c r="A1749" s="2">
        <v>46181</v>
      </c>
      <c r="B1749" s="3">
        <v>1610127</v>
      </c>
      <c r="C1749" s="3" t="s">
        <v>156</v>
      </c>
      <c r="D1749" s="4">
        <v>20330757</v>
      </c>
      <c r="E1749" s="3" t="s">
        <v>288</v>
      </c>
      <c r="F1749" s="4">
        <v>3</v>
      </c>
      <c r="G1749" s="5">
        <v>35</v>
      </c>
      <c r="H1749" s="5">
        <f t="shared" si="27"/>
        <v>105</v>
      </c>
    </row>
    <row r="1750" customFormat="1" hidden="1" spans="1:8">
      <c r="A1750" s="2">
        <v>46181</v>
      </c>
      <c r="B1750" s="3">
        <v>1610127</v>
      </c>
      <c r="C1750" s="3" t="s">
        <v>153</v>
      </c>
      <c r="D1750" s="4">
        <v>20363041</v>
      </c>
      <c r="E1750" s="3" t="s">
        <v>187</v>
      </c>
      <c r="F1750" s="4">
        <v>1</v>
      </c>
      <c r="G1750" s="5">
        <v>16.5</v>
      </c>
      <c r="H1750" s="5">
        <f t="shared" si="27"/>
        <v>16.5</v>
      </c>
    </row>
    <row r="1751" customFormat="1" hidden="1" spans="1:8">
      <c r="A1751" s="2">
        <v>46181</v>
      </c>
      <c r="B1751" s="3">
        <v>1610159</v>
      </c>
      <c r="C1751" s="3" t="s">
        <v>151</v>
      </c>
      <c r="D1751" s="4">
        <v>20353558</v>
      </c>
      <c r="E1751" s="3" t="s">
        <v>221</v>
      </c>
      <c r="F1751" s="4">
        <v>1</v>
      </c>
      <c r="G1751" s="5">
        <v>8</v>
      </c>
      <c r="H1751" s="5">
        <f t="shared" si="27"/>
        <v>8</v>
      </c>
    </row>
    <row r="1752" customFormat="1" hidden="1" spans="1:8">
      <c r="A1752" s="2">
        <v>46181</v>
      </c>
      <c r="B1752" s="3">
        <v>1610163</v>
      </c>
      <c r="C1752" s="3" t="s">
        <v>151</v>
      </c>
      <c r="D1752" s="4">
        <v>20407037</v>
      </c>
      <c r="E1752" s="3" t="s">
        <v>285</v>
      </c>
      <c r="F1752" s="4">
        <v>1</v>
      </c>
      <c r="G1752" s="5">
        <v>16.5</v>
      </c>
      <c r="H1752" s="5">
        <f t="shared" si="27"/>
        <v>16.5</v>
      </c>
    </row>
    <row r="1753" customFormat="1" hidden="1" spans="1:8">
      <c r="A1753" s="2">
        <v>46181</v>
      </c>
      <c r="B1753" s="3">
        <v>1610202</v>
      </c>
      <c r="C1753" s="3" t="s">
        <v>154</v>
      </c>
      <c r="D1753" s="4">
        <v>20322155</v>
      </c>
      <c r="E1753" s="3" t="s">
        <v>280</v>
      </c>
      <c r="F1753" s="4">
        <v>1</v>
      </c>
      <c r="G1753" s="5">
        <f>6*5.5</f>
        <v>33</v>
      </c>
      <c r="H1753" s="5">
        <f t="shared" si="27"/>
        <v>33</v>
      </c>
    </row>
    <row r="1754" customFormat="1" hidden="1" spans="1:8">
      <c r="A1754" s="2">
        <v>46181</v>
      </c>
      <c r="B1754" s="3">
        <v>1610212</v>
      </c>
      <c r="C1754" s="3" t="s">
        <v>150</v>
      </c>
      <c r="D1754" s="4">
        <v>20312966</v>
      </c>
      <c r="E1754" s="3" t="s">
        <v>258</v>
      </c>
      <c r="F1754" s="4">
        <v>4</v>
      </c>
      <c r="G1754" s="5">
        <v>159.5</v>
      </c>
      <c r="H1754" s="5">
        <f t="shared" si="27"/>
        <v>638</v>
      </c>
    </row>
    <row r="1755" customFormat="1" hidden="1" spans="1:8">
      <c r="A1755" s="2">
        <v>46181</v>
      </c>
      <c r="B1755" s="3">
        <v>1610212</v>
      </c>
      <c r="C1755" s="3" t="s">
        <v>150</v>
      </c>
      <c r="D1755" s="4">
        <v>20312965</v>
      </c>
      <c r="E1755" s="3" t="s">
        <v>112</v>
      </c>
      <c r="F1755" s="4">
        <v>3</v>
      </c>
      <c r="G1755" s="5">
        <v>137.5</v>
      </c>
      <c r="H1755" s="5">
        <f t="shared" si="27"/>
        <v>412.5</v>
      </c>
    </row>
    <row r="1756" customFormat="1" hidden="1" spans="1:8">
      <c r="A1756" s="2">
        <v>46181</v>
      </c>
      <c r="B1756" s="3">
        <v>1610212</v>
      </c>
      <c r="C1756" s="3" t="s">
        <v>150</v>
      </c>
      <c r="D1756" s="4">
        <v>20312967</v>
      </c>
      <c r="E1756" s="3" t="s">
        <v>289</v>
      </c>
      <c r="F1756" s="4">
        <v>5</v>
      </c>
      <c r="G1756" s="5">
        <v>176</v>
      </c>
      <c r="H1756" s="5">
        <f t="shared" si="27"/>
        <v>880</v>
      </c>
    </row>
    <row r="1757" customFormat="1" hidden="1" spans="1:8">
      <c r="A1757" s="2">
        <v>46181</v>
      </c>
      <c r="B1757" s="3">
        <v>1610212</v>
      </c>
      <c r="C1757" s="3" t="s">
        <v>152</v>
      </c>
      <c r="D1757" s="4">
        <v>20366064</v>
      </c>
      <c r="E1757" s="3" t="s">
        <v>195</v>
      </c>
      <c r="F1757" s="4">
        <v>1</v>
      </c>
      <c r="G1757" s="5">
        <v>71.5</v>
      </c>
      <c r="H1757" s="5">
        <f t="shared" si="27"/>
        <v>71.5</v>
      </c>
    </row>
    <row r="1758" customFormat="1" hidden="1" spans="1:8">
      <c r="A1758" s="2">
        <v>46181</v>
      </c>
      <c r="B1758" s="3">
        <v>1610227</v>
      </c>
      <c r="C1758" s="3" t="s">
        <v>151</v>
      </c>
      <c r="D1758" s="4">
        <v>20366610</v>
      </c>
      <c r="E1758" s="3" t="s">
        <v>191</v>
      </c>
      <c r="F1758" s="4">
        <v>1</v>
      </c>
      <c r="G1758" s="5">
        <v>16.5</v>
      </c>
      <c r="H1758" s="5">
        <f t="shared" si="27"/>
        <v>16.5</v>
      </c>
    </row>
    <row r="1759" customFormat="1" hidden="1" spans="1:8">
      <c r="A1759" s="2">
        <v>46181</v>
      </c>
      <c r="B1759" s="3">
        <v>1610241</v>
      </c>
      <c r="C1759" s="3" t="s">
        <v>156</v>
      </c>
      <c r="D1759" s="4">
        <v>20322235</v>
      </c>
      <c r="E1759" s="3" t="s">
        <v>111</v>
      </c>
      <c r="F1759" s="4">
        <v>5</v>
      </c>
      <c r="G1759" s="5">
        <v>2.5</v>
      </c>
      <c r="H1759" s="5">
        <f t="shared" si="27"/>
        <v>12.5</v>
      </c>
    </row>
    <row r="1760" customFormat="1" hidden="1" spans="1:8">
      <c r="A1760" s="2">
        <v>46181</v>
      </c>
      <c r="B1760" s="3">
        <v>1610241</v>
      </c>
      <c r="C1760" s="3" t="s">
        <v>156</v>
      </c>
      <c r="D1760" s="4">
        <v>20322234</v>
      </c>
      <c r="E1760" s="3" t="s">
        <v>274</v>
      </c>
      <c r="F1760" s="4">
        <v>1</v>
      </c>
      <c r="G1760" s="5">
        <v>2.5</v>
      </c>
      <c r="H1760" s="5">
        <f t="shared" si="27"/>
        <v>2.5</v>
      </c>
    </row>
    <row r="1761" customFormat="1" hidden="1" spans="1:8">
      <c r="A1761" s="2">
        <v>46181</v>
      </c>
      <c r="B1761" s="3">
        <v>1610241</v>
      </c>
      <c r="C1761" s="3" t="s">
        <v>156</v>
      </c>
      <c r="D1761" s="4">
        <v>20330757</v>
      </c>
      <c r="E1761" s="3" t="s">
        <v>288</v>
      </c>
      <c r="F1761" s="4">
        <v>1</v>
      </c>
      <c r="G1761" s="5">
        <v>35</v>
      </c>
      <c r="H1761" s="5">
        <f t="shared" si="27"/>
        <v>35</v>
      </c>
    </row>
    <row r="1762" customFormat="1" hidden="1" spans="1:8">
      <c r="A1762" s="2">
        <v>46181</v>
      </c>
      <c r="B1762" s="3">
        <v>1610241</v>
      </c>
      <c r="C1762" s="3" t="s">
        <v>156</v>
      </c>
      <c r="D1762" s="4">
        <v>20402355</v>
      </c>
      <c r="E1762" s="3" t="s">
        <v>291</v>
      </c>
      <c r="F1762" s="4">
        <v>1</v>
      </c>
      <c r="G1762" s="5">
        <v>25</v>
      </c>
      <c r="H1762" s="5">
        <f t="shared" si="27"/>
        <v>25</v>
      </c>
    </row>
    <row r="1763" customFormat="1" hidden="1" spans="1:8">
      <c r="A1763" s="2">
        <v>46181</v>
      </c>
      <c r="B1763" s="3">
        <v>1610241</v>
      </c>
      <c r="C1763" s="3" t="s">
        <v>153</v>
      </c>
      <c r="D1763" s="4">
        <v>20318334</v>
      </c>
      <c r="E1763" s="3" t="s">
        <v>186</v>
      </c>
      <c r="F1763" s="4">
        <v>1</v>
      </c>
      <c r="G1763" s="5">
        <v>16.5</v>
      </c>
      <c r="H1763" s="5">
        <f t="shared" si="27"/>
        <v>16.5</v>
      </c>
    </row>
    <row r="1764" customFormat="1" hidden="1" spans="1:8">
      <c r="A1764" s="2">
        <v>46181</v>
      </c>
      <c r="B1764" s="3">
        <v>1610241</v>
      </c>
      <c r="C1764" s="3" t="s">
        <v>153</v>
      </c>
      <c r="D1764" s="4">
        <v>20318340</v>
      </c>
      <c r="E1764" s="3" t="s">
        <v>240</v>
      </c>
      <c r="F1764" s="4">
        <v>3</v>
      </c>
      <c r="G1764" s="5">
        <v>16.5</v>
      </c>
      <c r="H1764" s="5">
        <f t="shared" si="27"/>
        <v>49.5</v>
      </c>
    </row>
    <row r="1765" customFormat="1" hidden="1" spans="1:8">
      <c r="A1765" s="2">
        <v>46181</v>
      </c>
      <c r="B1765" s="3">
        <v>1610241</v>
      </c>
      <c r="C1765" s="3" t="s">
        <v>153</v>
      </c>
      <c r="D1765" s="4">
        <v>20318342</v>
      </c>
      <c r="E1765" s="3" t="s">
        <v>304</v>
      </c>
      <c r="F1765" s="4">
        <v>2</v>
      </c>
      <c r="G1765" s="5">
        <v>16.5</v>
      </c>
      <c r="H1765" s="5">
        <f t="shared" si="27"/>
        <v>33</v>
      </c>
    </row>
    <row r="1766" customFormat="1" hidden="1" spans="1:8">
      <c r="A1766" s="2">
        <v>46181</v>
      </c>
      <c r="B1766" s="3">
        <v>1610246</v>
      </c>
      <c r="C1766" s="3" t="s">
        <v>150</v>
      </c>
      <c r="D1766" s="4">
        <v>20312966</v>
      </c>
      <c r="E1766" s="3" t="s">
        <v>258</v>
      </c>
      <c r="F1766" s="4">
        <v>6</v>
      </c>
      <c r="G1766" s="5">
        <v>159.5</v>
      </c>
      <c r="H1766" s="5">
        <f t="shared" si="27"/>
        <v>957</v>
      </c>
    </row>
    <row r="1767" customFormat="1" hidden="1" spans="1:8">
      <c r="A1767" s="2">
        <v>46181</v>
      </c>
      <c r="B1767" s="3">
        <v>1610246</v>
      </c>
      <c r="C1767" s="3" t="s">
        <v>150</v>
      </c>
      <c r="D1767" s="4">
        <v>20327194</v>
      </c>
      <c r="E1767" s="3" t="s">
        <v>265</v>
      </c>
      <c r="F1767" s="4">
        <v>1</v>
      </c>
      <c r="G1767" s="5">
        <v>27.5</v>
      </c>
      <c r="H1767" s="5">
        <f t="shared" si="27"/>
        <v>27.5</v>
      </c>
    </row>
    <row r="1768" customFormat="1" hidden="1" spans="1:8">
      <c r="A1768" s="2">
        <v>46181</v>
      </c>
      <c r="B1768" s="3">
        <v>1610246</v>
      </c>
      <c r="C1768" s="3" t="s">
        <v>150</v>
      </c>
      <c r="D1768" s="4">
        <v>20312967</v>
      </c>
      <c r="E1768" s="3" t="s">
        <v>289</v>
      </c>
      <c r="F1768" s="4">
        <v>4</v>
      </c>
      <c r="G1768" s="5">
        <v>176</v>
      </c>
      <c r="H1768" s="5">
        <f t="shared" si="27"/>
        <v>704</v>
      </c>
    </row>
    <row r="1769" customFormat="1" ht="25.5" hidden="1" spans="1:8">
      <c r="A1769" s="2">
        <v>46181</v>
      </c>
      <c r="B1769" s="3">
        <v>1610246</v>
      </c>
      <c r="C1769" s="3" t="s">
        <v>154</v>
      </c>
      <c r="D1769" s="4">
        <v>20326338</v>
      </c>
      <c r="E1769" s="3" t="s">
        <v>269</v>
      </c>
      <c r="F1769" s="4">
        <v>1</v>
      </c>
      <c r="G1769" s="5">
        <v>55</v>
      </c>
      <c r="H1769" s="5">
        <f t="shared" si="27"/>
        <v>55</v>
      </c>
    </row>
    <row r="1770" customFormat="1" hidden="1" spans="1:8">
      <c r="A1770" s="2">
        <v>46181</v>
      </c>
      <c r="B1770" s="3">
        <v>1610246</v>
      </c>
      <c r="C1770" s="3" t="s">
        <v>151</v>
      </c>
      <c r="D1770" s="4">
        <v>20410957</v>
      </c>
      <c r="E1770" s="3" t="s">
        <v>197</v>
      </c>
      <c r="F1770" s="4">
        <v>1</v>
      </c>
      <c r="G1770" s="5">
        <v>16.5</v>
      </c>
      <c r="H1770" s="5">
        <f t="shared" si="27"/>
        <v>16.5</v>
      </c>
    </row>
    <row r="1771" customFormat="1" hidden="1" spans="1:8">
      <c r="A1771" s="2">
        <v>46181</v>
      </c>
      <c r="B1771" s="3">
        <v>1610246</v>
      </c>
      <c r="C1771" s="3" t="s">
        <v>151</v>
      </c>
      <c r="D1771" s="4">
        <v>20318363</v>
      </c>
      <c r="E1771" s="3" t="s">
        <v>94</v>
      </c>
      <c r="F1771" s="4">
        <v>1</v>
      </c>
      <c r="G1771" s="5">
        <v>8</v>
      </c>
      <c r="H1771" s="5">
        <f t="shared" si="27"/>
        <v>8</v>
      </c>
    </row>
    <row r="1772" customFormat="1" hidden="1" spans="1:8">
      <c r="A1772" s="2">
        <v>46181</v>
      </c>
      <c r="B1772" s="3">
        <v>1610246</v>
      </c>
      <c r="C1772" s="3" t="s">
        <v>152</v>
      </c>
      <c r="D1772" s="4">
        <v>20366059</v>
      </c>
      <c r="E1772" s="3" t="s">
        <v>194</v>
      </c>
      <c r="F1772" s="4">
        <v>1</v>
      </c>
      <c r="G1772" s="5">
        <v>66</v>
      </c>
      <c r="H1772" s="5">
        <f t="shared" si="27"/>
        <v>66</v>
      </c>
    </row>
    <row r="1773" customFormat="1" hidden="1" spans="1:8">
      <c r="A1773" s="2">
        <v>46181</v>
      </c>
      <c r="B1773" s="3">
        <v>1610246</v>
      </c>
      <c r="C1773" s="3" t="s">
        <v>152</v>
      </c>
      <c r="D1773" s="4">
        <v>20366065</v>
      </c>
      <c r="E1773" s="3" t="s">
        <v>196</v>
      </c>
      <c r="F1773" s="4">
        <v>1</v>
      </c>
      <c r="G1773" s="5">
        <v>71.5</v>
      </c>
      <c r="H1773" s="5">
        <f t="shared" si="27"/>
        <v>71.5</v>
      </c>
    </row>
    <row r="1774" customFormat="1" hidden="1" spans="1:8">
      <c r="A1774" s="2">
        <v>46181</v>
      </c>
      <c r="B1774" s="3">
        <v>1610246</v>
      </c>
      <c r="C1774" s="3" t="s">
        <v>153</v>
      </c>
      <c r="D1774" s="4">
        <v>20014824</v>
      </c>
      <c r="E1774" s="3" t="s">
        <v>85</v>
      </c>
      <c r="F1774" s="4">
        <v>1</v>
      </c>
      <c r="G1774" s="5">
        <v>16.5</v>
      </c>
      <c r="H1774" s="5">
        <f t="shared" si="27"/>
        <v>16.5</v>
      </c>
    </row>
    <row r="1775" customFormat="1" hidden="1" spans="1:8">
      <c r="A1775" s="2">
        <v>46181</v>
      </c>
      <c r="B1775" s="3">
        <v>1610246</v>
      </c>
      <c r="C1775" s="3" t="s">
        <v>153</v>
      </c>
      <c r="D1775" s="4">
        <v>20343399</v>
      </c>
      <c r="E1775" s="3" t="s">
        <v>228</v>
      </c>
      <c r="F1775" s="4">
        <v>1</v>
      </c>
      <c r="G1775" s="5">
        <v>33</v>
      </c>
      <c r="H1775" s="5">
        <f t="shared" si="27"/>
        <v>33</v>
      </c>
    </row>
    <row r="1776" customFormat="1" hidden="1" spans="1:8">
      <c r="A1776" s="2">
        <v>46181</v>
      </c>
      <c r="B1776" s="3">
        <v>1610246</v>
      </c>
      <c r="C1776" s="3" t="s">
        <v>153</v>
      </c>
      <c r="D1776" s="4">
        <v>20318378</v>
      </c>
      <c r="E1776" s="3" t="s">
        <v>231</v>
      </c>
      <c r="F1776" s="4">
        <v>2</v>
      </c>
      <c r="G1776" s="5">
        <v>16.5</v>
      </c>
      <c r="H1776" s="5">
        <f t="shared" si="27"/>
        <v>33</v>
      </c>
    </row>
    <row r="1777" customFormat="1" hidden="1" spans="1:8">
      <c r="A1777" s="2">
        <v>46181</v>
      </c>
      <c r="B1777" s="3">
        <v>1610246</v>
      </c>
      <c r="C1777" s="3" t="s">
        <v>153</v>
      </c>
      <c r="D1777" s="4">
        <v>20318340</v>
      </c>
      <c r="E1777" s="3" t="s">
        <v>240</v>
      </c>
      <c r="F1777" s="4">
        <v>2</v>
      </c>
      <c r="G1777" s="5">
        <v>16.5</v>
      </c>
      <c r="H1777" s="5">
        <f t="shared" si="27"/>
        <v>33</v>
      </c>
    </row>
    <row r="1778" customFormat="1" hidden="1" spans="1:8">
      <c r="A1778" s="2">
        <v>46181</v>
      </c>
      <c r="B1778" s="3">
        <v>1610246</v>
      </c>
      <c r="C1778" s="3" t="s">
        <v>153</v>
      </c>
      <c r="D1778" s="4">
        <v>20318379</v>
      </c>
      <c r="E1778" s="3" t="s">
        <v>127</v>
      </c>
      <c r="F1778" s="4">
        <v>1</v>
      </c>
      <c r="G1778" s="5">
        <v>16.5</v>
      </c>
      <c r="H1778" s="5">
        <f t="shared" si="27"/>
        <v>16.5</v>
      </c>
    </row>
    <row r="1779" customFormat="1" hidden="1" spans="1:8">
      <c r="A1779" s="2">
        <v>46181</v>
      </c>
      <c r="B1779" s="3">
        <v>1610246</v>
      </c>
      <c r="C1779" s="3" t="s">
        <v>153</v>
      </c>
      <c r="D1779" s="4">
        <v>20318342</v>
      </c>
      <c r="E1779" s="3" t="s">
        <v>304</v>
      </c>
      <c r="F1779" s="4">
        <v>1</v>
      </c>
      <c r="G1779" s="5">
        <v>16.5</v>
      </c>
      <c r="H1779" s="5">
        <f t="shared" si="27"/>
        <v>16.5</v>
      </c>
    </row>
    <row r="1780" customFormat="1" hidden="1" spans="1:8">
      <c r="A1780" s="2">
        <v>46181</v>
      </c>
      <c r="B1780" s="3">
        <v>1610323</v>
      </c>
      <c r="C1780" s="3" t="s">
        <v>150</v>
      </c>
      <c r="D1780" s="4">
        <v>20321476</v>
      </c>
      <c r="E1780" s="3" t="s">
        <v>161</v>
      </c>
      <c r="F1780" s="4">
        <v>1</v>
      </c>
      <c r="G1780" s="5">
        <v>55</v>
      </c>
      <c r="H1780" s="5">
        <f t="shared" si="27"/>
        <v>55</v>
      </c>
    </row>
    <row r="1781" customFormat="1" hidden="1" spans="1:8">
      <c r="A1781" s="2">
        <v>46181</v>
      </c>
      <c r="B1781" s="3">
        <v>1610323</v>
      </c>
      <c r="C1781" s="3" t="s">
        <v>150</v>
      </c>
      <c r="D1781" s="4">
        <v>20312995</v>
      </c>
      <c r="E1781" s="3" t="s">
        <v>236</v>
      </c>
      <c r="F1781" s="4">
        <v>1</v>
      </c>
      <c r="G1781" s="5">
        <v>82.5</v>
      </c>
      <c r="H1781" s="5">
        <f t="shared" si="27"/>
        <v>82.5</v>
      </c>
    </row>
    <row r="1782" customFormat="1" hidden="1" spans="1:8">
      <c r="A1782" s="2">
        <v>46181</v>
      </c>
      <c r="B1782" s="3">
        <v>1610323</v>
      </c>
      <c r="C1782" s="3" t="s">
        <v>150</v>
      </c>
      <c r="D1782" s="4">
        <v>20426377</v>
      </c>
      <c r="E1782" s="3" t="s">
        <v>256</v>
      </c>
      <c r="F1782" s="4">
        <v>1</v>
      </c>
      <c r="G1782" s="5">
        <v>121</v>
      </c>
      <c r="H1782" s="5">
        <f t="shared" si="27"/>
        <v>121</v>
      </c>
    </row>
    <row r="1783" customFormat="1" hidden="1" spans="1:8">
      <c r="A1783" s="2">
        <v>46181</v>
      </c>
      <c r="B1783" s="3">
        <v>1610323</v>
      </c>
      <c r="C1783" s="3" t="s">
        <v>150</v>
      </c>
      <c r="D1783" s="4">
        <v>20426378</v>
      </c>
      <c r="E1783" s="3" t="s">
        <v>257</v>
      </c>
      <c r="F1783" s="4">
        <v>1</v>
      </c>
      <c r="G1783" s="5">
        <v>22</v>
      </c>
      <c r="H1783" s="5">
        <f t="shared" si="27"/>
        <v>22</v>
      </c>
    </row>
    <row r="1784" customFormat="1" hidden="1" spans="1:8">
      <c r="A1784" s="2">
        <v>46181</v>
      </c>
      <c r="B1784" s="3">
        <v>1610323</v>
      </c>
      <c r="C1784" s="3" t="s">
        <v>150</v>
      </c>
      <c r="D1784" s="4">
        <v>20312966</v>
      </c>
      <c r="E1784" s="3" t="s">
        <v>258</v>
      </c>
      <c r="F1784" s="4">
        <v>5</v>
      </c>
      <c r="G1784" s="5">
        <v>159.5</v>
      </c>
      <c r="H1784" s="5">
        <f t="shared" si="27"/>
        <v>797.5</v>
      </c>
    </row>
    <row r="1785" customFormat="1" hidden="1" spans="1:8">
      <c r="A1785" s="2">
        <v>46181</v>
      </c>
      <c r="B1785" s="3">
        <v>1610323</v>
      </c>
      <c r="C1785" s="3" t="s">
        <v>150</v>
      </c>
      <c r="D1785" s="4">
        <v>20312965</v>
      </c>
      <c r="E1785" s="3" t="s">
        <v>112</v>
      </c>
      <c r="F1785" s="4">
        <v>4</v>
      </c>
      <c r="G1785" s="5">
        <v>137.5</v>
      </c>
      <c r="H1785" s="5">
        <f t="shared" si="27"/>
        <v>550</v>
      </c>
    </row>
    <row r="1786" customFormat="1" hidden="1" spans="1:8">
      <c r="A1786" s="2">
        <v>46181</v>
      </c>
      <c r="B1786" s="3">
        <v>1610323</v>
      </c>
      <c r="C1786" s="3" t="s">
        <v>150</v>
      </c>
      <c r="D1786" s="4">
        <v>20312967</v>
      </c>
      <c r="E1786" s="3" t="s">
        <v>289</v>
      </c>
      <c r="F1786" s="4">
        <v>5</v>
      </c>
      <c r="G1786" s="5">
        <v>176</v>
      </c>
      <c r="H1786" s="5">
        <f t="shared" si="27"/>
        <v>880</v>
      </c>
    </row>
    <row r="1787" customFormat="1" hidden="1" spans="1:8">
      <c r="A1787" s="2">
        <v>46181</v>
      </c>
      <c r="B1787" s="3">
        <v>1610323</v>
      </c>
      <c r="C1787" s="3" t="s">
        <v>152</v>
      </c>
      <c r="D1787" s="4">
        <v>20340286</v>
      </c>
      <c r="E1787" s="3" t="s">
        <v>169</v>
      </c>
      <c r="F1787" s="4">
        <v>1</v>
      </c>
      <c r="G1787" s="5">
        <v>55</v>
      </c>
      <c r="H1787" s="5">
        <f t="shared" si="27"/>
        <v>55</v>
      </c>
    </row>
    <row r="1788" customFormat="1" hidden="1" spans="1:8">
      <c r="A1788" s="2">
        <v>46181</v>
      </c>
      <c r="B1788" s="3">
        <v>1610323</v>
      </c>
      <c r="C1788" s="3" t="s">
        <v>153</v>
      </c>
      <c r="D1788" s="4">
        <v>20318359</v>
      </c>
      <c r="E1788" s="3" t="s">
        <v>207</v>
      </c>
      <c r="F1788" s="4">
        <v>1</v>
      </c>
      <c r="G1788" s="5">
        <v>16.5</v>
      </c>
      <c r="H1788" s="5">
        <f t="shared" si="27"/>
        <v>16.5</v>
      </c>
    </row>
    <row r="1789" customFormat="1" hidden="1" spans="1:8">
      <c r="A1789" s="2">
        <v>46181</v>
      </c>
      <c r="B1789" s="3">
        <v>1610323</v>
      </c>
      <c r="C1789" s="3" t="s">
        <v>153</v>
      </c>
      <c r="D1789" s="4">
        <v>20318380</v>
      </c>
      <c r="E1789" s="3" t="s">
        <v>232</v>
      </c>
      <c r="F1789" s="4">
        <v>2</v>
      </c>
      <c r="G1789" s="5">
        <v>16.5</v>
      </c>
      <c r="H1789" s="5">
        <f t="shared" si="27"/>
        <v>33</v>
      </c>
    </row>
    <row r="1790" customFormat="1" hidden="1" spans="1:8">
      <c r="A1790" s="2">
        <v>46181</v>
      </c>
      <c r="B1790" s="3">
        <v>1610323</v>
      </c>
      <c r="C1790" s="3" t="s">
        <v>153</v>
      </c>
      <c r="D1790" s="4">
        <v>20321250</v>
      </c>
      <c r="E1790" s="3" t="s">
        <v>259</v>
      </c>
      <c r="F1790" s="4">
        <v>2</v>
      </c>
      <c r="G1790" s="5">
        <v>16.5</v>
      </c>
      <c r="H1790" s="5">
        <f t="shared" si="27"/>
        <v>33</v>
      </c>
    </row>
    <row r="1791" customFormat="1" hidden="1" spans="1:8">
      <c r="A1791" s="2">
        <v>46181</v>
      </c>
      <c r="B1791" s="3">
        <v>1610323</v>
      </c>
      <c r="C1791" s="3" t="s">
        <v>153</v>
      </c>
      <c r="D1791" s="4">
        <v>20340289</v>
      </c>
      <c r="E1791" s="3" t="s">
        <v>272</v>
      </c>
      <c r="F1791" s="4">
        <v>1</v>
      </c>
      <c r="G1791" s="5">
        <v>16.5</v>
      </c>
      <c r="H1791" s="5">
        <f t="shared" si="27"/>
        <v>16.5</v>
      </c>
    </row>
    <row r="1792" customFormat="1" hidden="1" spans="1:8">
      <c r="A1792" s="2">
        <v>46181</v>
      </c>
      <c r="B1792" s="3">
        <v>1610323</v>
      </c>
      <c r="C1792" s="3" t="s">
        <v>153</v>
      </c>
      <c r="D1792" s="4">
        <v>20383164</v>
      </c>
      <c r="E1792" s="3" t="s">
        <v>273</v>
      </c>
      <c r="F1792" s="4">
        <v>1</v>
      </c>
      <c r="G1792" s="5">
        <v>22</v>
      </c>
      <c r="H1792" s="5">
        <f t="shared" si="27"/>
        <v>22</v>
      </c>
    </row>
    <row r="1793" customFormat="1" hidden="1" spans="1:8">
      <c r="A1793" s="2">
        <v>46181</v>
      </c>
      <c r="B1793" s="3">
        <v>1610323</v>
      </c>
      <c r="C1793" s="3" t="s">
        <v>153</v>
      </c>
      <c r="D1793" s="4">
        <v>20318336</v>
      </c>
      <c r="E1793" s="3" t="s">
        <v>303</v>
      </c>
      <c r="F1793" s="4">
        <v>2</v>
      </c>
      <c r="G1793" s="5">
        <v>16.5</v>
      </c>
      <c r="H1793" s="5">
        <f t="shared" si="27"/>
        <v>33</v>
      </c>
    </row>
    <row r="1794" customFormat="1" ht="0.05" customHeight="1"/>
  </sheetData>
  <autoFilter xmlns:etc="http://www.wps.cn/officeDocument/2017/etCustomData" ref="A1:H1793" etc:filterBottomFollowUsedRange="0">
    <filterColumn colId="4">
      <filters>
        <filter val="胸腔镜-17件（筐1）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Sheet1</vt:lpstr>
      <vt:lpstr>Sheet5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2023-10-18T01:38:00Z</dcterms:created>
  <dcterms:modified xsi:type="dcterms:W3CDTF">2026-06-26T05:05:08Z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33D562D4AA8541E9AB53E611FCF825A5_13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