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妇科" sheetId="1" r:id="rId1"/>
    <sheet name="口腔科" sheetId="2" r:id="rId2"/>
    <sheet name="手术室" sheetId="3" r:id="rId3"/>
  </sheets>
  <definedNames>
    <definedName name="_xlnm._FilterDatabase" localSheetId="0" hidden="1">妇科!$A$9:$K$16</definedName>
    <definedName name="_xlnm._FilterDatabase" localSheetId="1" hidden="1">口腔科!$A$7:$K$19</definedName>
    <definedName name="_xlnm._FilterDatabase" localSheetId="2" hidden="1">手术室!$A$7:$K$28</definedName>
    <definedName name="_xlnm.Print_Titles" localSheetId="0">妇科!$1:$6</definedName>
    <definedName name="_xlnm.Print_Titles" localSheetId="1">口腔科!$1:$6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<sst xmlns="http://schemas.openxmlformats.org/spreadsheetml/2006/main" count="142" uniqueCount="49">
  <si>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</si>
  <si>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</si>
  <si>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</si>
  <si>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</si>
  <si>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</si>
  <si>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</si>
  <si>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</si>
  <si>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</si>
  <si>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</si>
  <si>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</si>
  <si>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</si>
  <si>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</si>
  <si>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</si>
  <si>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</si>
  <si>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病理钳-1/Z2032</t>
  </si>
  <si>
    <t>取环钳-1/Z1530</t>
  </si>
  <si>
    <t>器械包(ZSD)</t>
  </si>
  <si>
    <t>流产包</t>
  </si>
  <si>
    <t>额外包(无纺布)</t>
  </si>
  <si>
    <t>产包-16件盒1</t>
  </si>
  <si>
    <t>切开包-13件盒1</t>
  </si>
  <si>
    <t>阴切包-10件盒1</t>
  </si>
  <si>
    <t>口腔科</t>
  </si>
  <si>
    <t>拔牙钳-1/Z1029</t>
  </si>
  <si>
    <t>拔牙挺-1/Z7526</t>
  </si>
  <si>
    <t>车针/Z7520</t>
  </si>
  <si>
    <t>剪刀(高温)-1/Z1029</t>
  </si>
  <si>
    <t>手机-1/Z7526</t>
  </si>
  <si>
    <t>敷料包(纸塑袋)</t>
  </si>
  <si>
    <t>棉球/Z1526</t>
  </si>
  <si>
    <t>手术室</t>
  </si>
  <si>
    <t>器械包</t>
  </si>
  <si>
    <t>妇科包</t>
  </si>
  <si>
    <t>阑尾包</t>
  </si>
  <si>
    <t>肠钳-3/Z1535</t>
  </si>
  <si>
    <t>肺钳-3/Z1535</t>
  </si>
  <si>
    <t>刮勺-1/Z7537</t>
  </si>
  <si>
    <t>荷包钳-1/Z1535</t>
  </si>
  <si>
    <t>卵圆钳-1/Z1535</t>
  </si>
  <si>
    <t>镊子-1/Z1026</t>
  </si>
  <si>
    <t>镊子缸-2/Z2044</t>
  </si>
  <si>
    <t>肾钳-3/Z1535</t>
  </si>
  <si>
    <t>探子-3/Z7534</t>
  </si>
  <si>
    <t>开腹拉钩-1/W6050</t>
  </si>
  <si>
    <t>盆1碗1/W9050</t>
  </si>
  <si>
    <t>爪钩-3/W7050</t>
  </si>
  <si>
    <t>额外包(低温等离子)</t>
  </si>
  <si>
    <t>宫腔检查镜-1/Z2045</t>
  </si>
  <si>
    <t>骨膜剥离质-1/Z7534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</si>
</sst>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66675</xdr:rowOff>
    </xdr:from>
    <xdr:to>
      <xdr:col>9</xdr:col>
      <xdr:colOff>804628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28575</xdr:rowOff>
    </xdr:from>
    <xdr:to>
      <xdr:col>9</xdr:col>
      <xdr:colOff>795103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208915</xdr:colOff>
      <xdr:row>1</xdr:row>
      <xdr:rowOff>76200</xdr:rowOff>
    </xdr:from>
    <xdr:to>
      <xdr:col>9</xdr:col>
      <xdr:colOff>718903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0169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634.5</v>
      </c>
    </row>
    <row r="11" spans="2:11">
      <c r="D11" s="11">
        <v>46168</v>
      </c>
      <c r="E11" s="12">
        <v>1606535</v>
      </c>
      <c r="F11" s="12" t="s">
        <v>13</v>
      </c>
      <c r="G11" s="13">
        <v>20376692</v>
      </c>
      <c r="H11" s="12" t="s">
        <v>14</v>
      </c>
      <c r="I11" s="13">
        <v>1</v>
      </c>
      <c r="J11" s="14">
        <v>13</v>
      </c>
      <c r="K11" s="14">
        <v>13</v>
      </c>
    </row>
    <row r="12" spans="2:11">
      <c r="D12" s="11">
        <v>46168</v>
      </c>
      <c r="E12" s="12">
        <v>1606535</v>
      </c>
      <c r="F12" s="12" t="s">
        <v>13</v>
      </c>
      <c r="G12" s="13">
        <v>20385943</v>
      </c>
      <c r="H12" s="12" t="s">
        <v>15</v>
      </c>
      <c r="I12" s="13">
        <v>1</v>
      </c>
      <c r="J12" s="14">
        <v>11</v>
      </c>
      <c r="K12" s="14">
        <v>11</v>
      </c>
    </row>
    <row r="13" spans="2:11">
      <c r="D13" s="11">
        <v>46168</v>
      </c>
      <c r="E13" s="12">
        <v>1606535</v>
      </c>
      <c r="F13" s="12" t="s">
        <v>16</v>
      </c>
      <c r="G13" s="13">
        <v>20332056</v>
      </c>
      <c r="H13" s="12" t="s">
        <v>17</v>
      </c>
      <c r="I13" s="13">
        <v>3</v>
      </c>
      <c r="J13" s="14">
        <v>126.5</v>
      </c>
      <c r="K13" s="14">
        <v>379.5</v>
      </c>
    </row>
    <row r="14" spans="2:11">
      <c r="D14" s="11">
        <v>46168</v>
      </c>
      <c r="E14" s="12">
        <v>1606535</v>
      </c>
      <c r="F14" s="12" t="s">
        <v>18</v>
      </c>
      <c r="G14" s="13">
        <v>20381262</v>
      </c>
      <c r="H14" s="12" t="s">
        <v>19</v>
      </c>
      <c r="I14" s="13">
        <v>1</v>
      </c>
      <c r="J14" s="14">
        <v>93.5</v>
      </c>
      <c r="K14" s="14">
        <v>93.5</v>
      </c>
    </row>
    <row r="15" spans="2:11">
      <c r="D15" s="11">
        <v>46168</v>
      </c>
      <c r="E15" s="12">
        <v>1606535</v>
      </c>
      <c r="F15" s="12" t="s">
        <v>18</v>
      </c>
      <c r="G15" s="13">
        <v>20381264</v>
      </c>
      <c r="H15" s="12" t="s">
        <v>20</v>
      </c>
      <c r="I15" s="13">
        <v>1</v>
      </c>
      <c r="J15" s="14">
        <v>77</v>
      </c>
      <c r="K15" s="14">
        <v>77</v>
      </c>
    </row>
    <row r="16" spans="2:11">
      <c r="D16" s="11">
        <v>46168</v>
      </c>
      <c r="E16" s="12">
        <v>1606535</v>
      </c>
      <c r="F16" s="12" t="s">
        <v>18</v>
      </c>
      <c r="G16" s="13">
        <v>20381263</v>
      </c>
      <c r="H16" s="12" t="s">
        <v>21</v>
      </c>
      <c r="I16" s="13">
        <v>1</v>
      </c>
      <c r="J16" s="14">
        <v>60.5</v>
      </c>
      <c r="K16" s="14">
        <v>60.5</v>
      </c>
    </row>
    <row r="17" ht="0.05" customHeight="1"/>
  </sheetData>
  <autoFilter xmlns:etc="http://www.wps.cn/officeDocument/2017/etCustomData" ref="A9:K16" etc:filterBottomFollowUsedRange="0">
    <extLst/>
  </autoFilter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15:52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J14" sqref="J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35</v>
      </c>
      <c r="J8" s="10"/>
      <c r="K8" s="10">
        <f>SUM(K9:K19)</f>
        <v>263.5</v>
      </c>
    </row>
    <row r="9" spans="1:11">
      <c r="D9" s="11">
        <v>46158</v>
      </c>
      <c r="E9" s="12">
        <v>1603800</v>
      </c>
      <c r="F9" s="12" t="s">
        <v>13</v>
      </c>
      <c r="G9" s="13">
        <v>20332070</v>
      </c>
      <c r="H9" s="12" t="s">
        <v>23</v>
      </c>
      <c r="I9" s="13">
        <v>3</v>
      </c>
      <c r="J9" s="14">
        <v>8</v>
      </c>
      <c r="K9" s="14">
        <f>J9*I9</f>
        <v>24</v>
      </c>
    </row>
    <row r="10" spans="1:11">
      <c r="D10" s="11">
        <v>46158</v>
      </c>
      <c r="E10" s="12">
        <v>1603800</v>
      </c>
      <c r="F10" s="12" t="s">
        <v>13</v>
      </c>
      <c r="G10" s="13">
        <v>20332072</v>
      </c>
      <c r="H10" s="12" t="s">
        <v>24</v>
      </c>
      <c r="I10" s="13">
        <v>3</v>
      </c>
      <c r="J10" s="14">
        <v>8</v>
      </c>
      <c r="K10" s="14">
        <f t="shared" ref="K10:K19" si="0">J10*I10</f>
        <v>24</v>
      </c>
    </row>
    <row r="11" spans="1:11">
      <c r="D11" s="11">
        <v>46158</v>
      </c>
      <c r="E11" s="12">
        <v>1603800</v>
      </c>
      <c r="F11" s="12" t="s">
        <v>13</v>
      </c>
      <c r="G11" s="13">
        <v>20395390</v>
      </c>
      <c r="H11" s="12" t="s">
        <v>25</v>
      </c>
      <c r="I11" s="13">
        <v>6</v>
      </c>
      <c r="J11" s="14">
        <v>8</v>
      </c>
      <c r="K11" s="14">
        <f t="shared" si="0"/>
        <v>48</v>
      </c>
    </row>
    <row r="12" spans="1:11">
      <c r="D12" s="11">
        <v>46158</v>
      </c>
      <c r="E12" s="12">
        <v>1603800</v>
      </c>
      <c r="F12" s="12" t="s">
        <v>13</v>
      </c>
      <c r="G12" s="13">
        <v>20330535</v>
      </c>
      <c r="H12" s="12" t="s">
        <v>26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46158</v>
      </c>
      <c r="E13" s="12">
        <v>1603800</v>
      </c>
      <c r="F13" s="12" t="s">
        <v>13</v>
      </c>
      <c r="G13" s="13">
        <v>20332073</v>
      </c>
      <c r="H13" s="12" t="s">
        <v>27</v>
      </c>
      <c r="I13" s="13">
        <v>7</v>
      </c>
      <c r="J13" s="14">
        <v>8</v>
      </c>
      <c r="K13" s="14">
        <f t="shared" si="0"/>
        <v>56</v>
      </c>
    </row>
    <row r="14" spans="1:11">
      <c r="D14" s="11">
        <v>46158</v>
      </c>
      <c r="E14" s="12">
        <v>1603800</v>
      </c>
      <c r="F14" s="12" t="s">
        <v>28</v>
      </c>
      <c r="G14" s="13">
        <v>20376681</v>
      </c>
      <c r="H14" s="12" t="s">
        <v>29</v>
      </c>
      <c r="I14" s="13">
        <v>2</v>
      </c>
      <c r="J14" s="14">
        <v>2.5</v>
      </c>
      <c r="K14" s="14">
        <f t="shared" si="0"/>
        <v>5</v>
      </c>
    </row>
    <row r="15" spans="1:11">
      <c r="D15" s="11">
        <v>46168</v>
      </c>
      <c r="E15" s="12">
        <v>1606536</v>
      </c>
      <c r="F15" s="12" t="s">
        <v>13</v>
      </c>
      <c r="G15" s="13">
        <v>20332070</v>
      </c>
      <c r="H15" s="12" t="s">
        <v>23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46168</v>
      </c>
      <c r="E16" s="12">
        <v>1606536</v>
      </c>
      <c r="F16" s="12" t="s">
        <v>13</v>
      </c>
      <c r="G16" s="13">
        <v>20332072</v>
      </c>
      <c r="H16" s="12" t="s">
        <v>24</v>
      </c>
      <c r="I16" s="13">
        <v>3</v>
      </c>
      <c r="J16" s="14">
        <v>8</v>
      </c>
      <c r="K16" s="14">
        <f t="shared" si="0"/>
        <v>24</v>
      </c>
    </row>
    <row r="17" spans="4:11">
      <c r="D17" s="11">
        <v>46168</v>
      </c>
      <c r="E17" s="12">
        <v>1606536</v>
      </c>
      <c r="F17" s="12" t="s">
        <v>13</v>
      </c>
      <c r="G17" s="13">
        <v>20395390</v>
      </c>
      <c r="H17" s="12" t="s">
        <v>25</v>
      </c>
      <c r="I17" s="13">
        <v>3</v>
      </c>
      <c r="J17" s="14">
        <v>8</v>
      </c>
      <c r="K17" s="14">
        <f t="shared" si="0"/>
        <v>24</v>
      </c>
    </row>
    <row r="18" spans="4:11">
      <c r="D18" s="11">
        <v>46168</v>
      </c>
      <c r="E18" s="12">
        <v>1606536</v>
      </c>
      <c r="F18" s="12" t="s">
        <v>13</v>
      </c>
      <c r="G18" s="13">
        <v>20332073</v>
      </c>
      <c r="H18" s="12" t="s">
        <v>27</v>
      </c>
      <c r="I18" s="13">
        <v>5</v>
      </c>
      <c r="J18" s="14">
        <v>8</v>
      </c>
      <c r="K18" s="14">
        <f t="shared" si="0"/>
        <v>40</v>
      </c>
    </row>
    <row r="19" spans="4:11">
      <c r="D19" s="11">
        <v>46168</v>
      </c>
      <c r="E19" s="12">
        <v>1606536</v>
      </c>
      <c r="F19" s="12" t="s">
        <v>28</v>
      </c>
      <c r="G19" s="13">
        <v>20376681</v>
      </c>
      <c r="H19" s="12" t="s">
        <v>29</v>
      </c>
      <c r="I19" s="13">
        <v>1</v>
      </c>
      <c r="J19" s="14">
        <v>2.5</v>
      </c>
      <c r="K19" s="14">
        <f t="shared" si="0"/>
        <v>2.5</v>
      </c>
    </row>
  </sheetData>
  <autoFilter xmlns:etc="http://www.wps.cn/officeDocument/2017/etCustomData" ref="A7:K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15:52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26</v>
      </c>
      <c r="J8" s="10"/>
      <c r="K8" s="10">
        <v>1223</v>
      </c>
    </row>
    <row r="9" spans="1:11">
      <c r="D9" s="11">
        <v>46158</v>
      </c>
      <c r="E9" s="12">
        <v>1603801</v>
      </c>
      <c r="F9" s="12" t="s">
        <v>31</v>
      </c>
      <c r="G9" s="13">
        <v>20330545</v>
      </c>
      <c r="H9" s="12" t="s">
        <v>32</v>
      </c>
      <c r="I9" s="13">
        <v>1</v>
      </c>
      <c r="J9" s="14">
        <v>209</v>
      </c>
      <c r="K9" s="14">
        <v>209</v>
      </c>
    </row>
    <row r="10" spans="1:11">
      <c r="D10" s="11">
        <v>46158</v>
      </c>
      <c r="E10" s="12">
        <v>1603801</v>
      </c>
      <c r="F10" s="12" t="s">
        <v>31</v>
      </c>
      <c r="G10" s="13">
        <v>20330538</v>
      </c>
      <c r="H10" s="12" t="s">
        <v>33</v>
      </c>
      <c r="I10" s="13">
        <v>1</v>
      </c>
      <c r="J10" s="14">
        <v>148.5</v>
      </c>
      <c r="K10" s="14">
        <v>148.5</v>
      </c>
    </row>
    <row r="11" spans="1:11">
      <c r="D11" s="11">
        <v>46158</v>
      </c>
      <c r="E11" s="12">
        <v>1603801</v>
      </c>
      <c r="F11" s="12" t="s">
        <v>13</v>
      </c>
      <c r="G11" s="13">
        <v>20332199</v>
      </c>
      <c r="H11" s="12" t="s">
        <v>34</v>
      </c>
      <c r="I11" s="13">
        <v>1</v>
      </c>
      <c r="J11" s="14">
        <v>16.5</v>
      </c>
      <c r="K11" s="14">
        <v>16.5</v>
      </c>
    </row>
    <row r="12" spans="1:11">
      <c r="D12" s="11">
        <v>46158</v>
      </c>
      <c r="E12" s="12">
        <v>1603801</v>
      </c>
      <c r="F12" s="12" t="s">
        <v>13</v>
      </c>
      <c r="G12" s="13">
        <v>20332201</v>
      </c>
      <c r="H12" s="12" t="s">
        <v>35</v>
      </c>
      <c r="I12" s="13">
        <v>1</v>
      </c>
      <c r="J12" s="14">
        <v>16.5</v>
      </c>
      <c r="K12" s="14">
        <v>16.5</v>
      </c>
    </row>
    <row r="13" spans="1:11">
      <c r="D13" s="11">
        <v>46158</v>
      </c>
      <c r="E13" s="12">
        <v>1603801</v>
      </c>
      <c r="F13" s="12" t="s">
        <v>13</v>
      </c>
      <c r="G13" s="13">
        <v>20332193</v>
      </c>
      <c r="H13" s="12" t="s">
        <v>36</v>
      </c>
      <c r="I13" s="13">
        <v>1</v>
      </c>
      <c r="J13" s="14">
        <v>8</v>
      </c>
      <c r="K13" s="14">
        <v>8</v>
      </c>
    </row>
    <row r="14" spans="1:11">
      <c r="D14" s="11">
        <v>46158</v>
      </c>
      <c r="E14" s="12">
        <v>1603801</v>
      </c>
      <c r="F14" s="12" t="s">
        <v>13</v>
      </c>
      <c r="G14" s="13">
        <v>20332200</v>
      </c>
      <c r="H14" s="12" t="s">
        <v>37</v>
      </c>
      <c r="I14" s="13">
        <v>1</v>
      </c>
      <c r="J14" s="14">
        <v>11</v>
      </c>
      <c r="K14" s="14">
        <v>11</v>
      </c>
    </row>
    <row r="15" spans="1:11">
      <c r="D15" s="11">
        <v>46158</v>
      </c>
      <c r="E15" s="12">
        <v>1603801</v>
      </c>
      <c r="F15" s="12" t="s">
        <v>13</v>
      </c>
      <c r="G15" s="13">
        <v>20330535</v>
      </c>
      <c r="H15" s="12" t="s">
        <v>26</v>
      </c>
      <c r="I15" s="13">
        <v>2</v>
      </c>
      <c r="J15" s="14">
        <v>8</v>
      </c>
      <c r="K15" s="14">
        <v>16</v>
      </c>
    </row>
    <row r="16" spans="1:11">
      <c r="D16" s="11">
        <v>46158</v>
      </c>
      <c r="E16" s="12">
        <v>1603801</v>
      </c>
      <c r="F16" s="12" t="s">
        <v>13</v>
      </c>
      <c r="G16" s="13">
        <v>20332198</v>
      </c>
      <c r="H16" s="12" t="s">
        <v>38</v>
      </c>
      <c r="I16" s="13">
        <v>2</v>
      </c>
      <c r="J16" s="14">
        <v>11</v>
      </c>
      <c r="K16" s="14">
        <v>22</v>
      </c>
    </row>
    <row r="17" spans="4:11">
      <c r="D17" s="11">
        <v>46158</v>
      </c>
      <c r="E17" s="12">
        <v>1603801</v>
      </c>
      <c r="F17" s="12" t="s">
        <v>13</v>
      </c>
      <c r="G17" s="13">
        <v>20376695</v>
      </c>
      <c r="H17" s="12" t="s">
        <v>39</v>
      </c>
      <c r="I17" s="13">
        <v>1</v>
      </c>
      <c r="J17" s="14">
        <v>8</v>
      </c>
      <c r="K17" s="14">
        <v>8</v>
      </c>
    </row>
    <row r="18" spans="4:11">
      <c r="D18" s="11">
        <v>46158</v>
      </c>
      <c r="E18" s="12">
        <v>1603801</v>
      </c>
      <c r="F18" s="12" t="s">
        <v>13</v>
      </c>
      <c r="G18" s="13">
        <v>20332810</v>
      </c>
      <c r="H18" s="12" t="s">
        <v>40</v>
      </c>
      <c r="I18" s="13">
        <v>2</v>
      </c>
      <c r="J18" s="14">
        <v>16.5</v>
      </c>
      <c r="K18" s="14">
        <v>33</v>
      </c>
    </row>
    <row r="19" spans="4:11">
      <c r="D19" s="11">
        <v>46158</v>
      </c>
      <c r="E19" s="12">
        <v>1603801</v>
      </c>
      <c r="F19" s="12" t="s">
        <v>13</v>
      </c>
      <c r="G19" s="13">
        <v>20332204</v>
      </c>
      <c r="H19" s="12" t="s">
        <v>41</v>
      </c>
      <c r="I19" s="13">
        <v>1</v>
      </c>
      <c r="J19" s="14">
        <v>16.5</v>
      </c>
      <c r="K19" s="14">
        <v>16.5</v>
      </c>
    </row>
    <row r="20" spans="4:11">
      <c r="D20" s="11">
        <v>46158</v>
      </c>
      <c r="E20" s="12">
        <v>1603801</v>
      </c>
      <c r="F20" s="12" t="s">
        <v>13</v>
      </c>
      <c r="G20" s="13">
        <v>20425844</v>
      </c>
      <c r="H20" s="12" t="s">
        <v>42</v>
      </c>
      <c r="I20" s="13">
        <v>1</v>
      </c>
      <c r="J20" s="14">
        <v>16.5</v>
      </c>
      <c r="K20" s="14">
        <v>16.5</v>
      </c>
    </row>
    <row r="21" spans="4:11">
      <c r="D21" s="11">
        <v>46158</v>
      </c>
      <c r="E21" s="12">
        <v>1603801</v>
      </c>
      <c r="F21" s="12" t="s">
        <v>18</v>
      </c>
      <c r="G21" s="13">
        <v>20332202</v>
      </c>
      <c r="H21" s="12" t="s">
        <v>43</v>
      </c>
      <c r="I21" s="13">
        <v>1</v>
      </c>
      <c r="J21" s="14">
        <v>16.5</v>
      </c>
      <c r="K21" s="14">
        <v>16.5</v>
      </c>
    </row>
    <row r="22" spans="4:11">
      <c r="D22" s="11">
        <v>46158</v>
      </c>
      <c r="E22" s="12">
        <v>1603801</v>
      </c>
      <c r="F22" s="12" t="s">
        <v>18</v>
      </c>
      <c r="G22" s="13">
        <v>20330663</v>
      </c>
      <c r="H22" s="12" t="s">
        <v>44</v>
      </c>
      <c r="I22" s="13">
        <v>2</v>
      </c>
      <c r="J22" s="14">
        <v>16.5</v>
      </c>
      <c r="K22" s="14">
        <v>33</v>
      </c>
    </row>
    <row r="23" spans="4:11">
      <c r="D23" s="11">
        <v>46158</v>
      </c>
      <c r="E23" s="12">
        <v>1603801</v>
      </c>
      <c r="F23" s="12" t="s">
        <v>18</v>
      </c>
      <c r="G23" s="13">
        <v>20332192</v>
      </c>
      <c r="H23" s="12" t="s">
        <v>45</v>
      </c>
      <c r="I23" s="13">
        <v>1</v>
      </c>
      <c r="J23" s="14">
        <v>16.5</v>
      </c>
      <c r="K23" s="14">
        <v>16.5</v>
      </c>
    </row>
    <row r="24" spans="4:11">
      <c r="D24" s="11">
        <v>46158</v>
      </c>
      <c r="E24" s="12">
        <v>1603803</v>
      </c>
      <c r="F24" s="12" t="s">
        <v>46</v>
      </c>
      <c r="G24" s="13">
        <v>20332206</v>
      </c>
      <c r="H24" s="12" t="s">
        <v>47</v>
      </c>
      <c r="I24" s="13">
        <v>1</v>
      </c>
      <c r="J24" s="14">
        <v>28</v>
      </c>
      <c r="K24" s="14">
        <v>28</v>
      </c>
    </row>
    <row r="25" spans="4:11">
      <c r="D25" s="11">
        <v>46168</v>
      </c>
      <c r="E25" s="12">
        <v>1606537</v>
      </c>
      <c r="F25" s="12" t="s">
        <v>31</v>
      </c>
      <c r="G25" s="13">
        <v>20330545</v>
      </c>
      <c r="H25" s="12" t="s">
        <v>32</v>
      </c>
      <c r="I25" s="13">
        <v>2</v>
      </c>
      <c r="J25" s="14">
        <v>209</v>
      </c>
      <c r="K25" s="14">
        <v>418</v>
      </c>
    </row>
    <row r="26" spans="4:11">
      <c r="D26" s="11">
        <v>46168</v>
      </c>
      <c r="E26" s="12">
        <v>1606537</v>
      </c>
      <c r="F26" s="12" t="s">
        <v>31</v>
      </c>
      <c r="G26" s="13">
        <v>20330538</v>
      </c>
      <c r="H26" s="12" t="s">
        <v>33</v>
      </c>
      <c r="I26" s="13">
        <v>1</v>
      </c>
      <c r="J26" s="14">
        <v>148.5</v>
      </c>
      <c r="K26" s="14">
        <v>148.5</v>
      </c>
    </row>
    <row r="27" spans="4:11">
      <c r="D27" s="11">
        <v>46168</v>
      </c>
      <c r="E27" s="12">
        <v>1606537</v>
      </c>
      <c r="F27" s="12" t="s">
        <v>13</v>
      </c>
      <c r="G27" s="13">
        <v>20332349</v>
      </c>
      <c r="H27" s="12" t="s">
        <v>48</v>
      </c>
      <c r="I27" s="13">
        <v>1</v>
      </c>
      <c r="J27" s="14">
        <v>8</v>
      </c>
      <c r="K27" s="14">
        <v>8</v>
      </c>
    </row>
    <row r="28" spans="4:11">
      <c r="D28" s="11">
        <v>46168</v>
      </c>
      <c r="E28" s="12">
        <v>1606537</v>
      </c>
      <c r="F28" s="12" t="s">
        <v>18</v>
      </c>
      <c r="G28" s="13">
        <v>20330663</v>
      </c>
      <c r="H28" s="12" t="s">
        <v>44</v>
      </c>
      <c r="I28" s="13">
        <v>2</v>
      </c>
      <c r="J28" s="14">
        <v>16.5</v>
      </c>
      <c r="K28" s="14">
        <v>33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15:52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妇科</vt:lpstr>
      <vt:lpstr>口腔科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2026-06-01T07:55:00Z</dcterms:created>
  <dcterms:modified xsi:type="dcterms:W3CDTF">2026-06-05T06:02:28Z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6DA1469E52A84DD29FFB60D11D04805B_13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