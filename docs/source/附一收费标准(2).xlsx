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联想瑞天\Desktop\"/>
    </mc:Choice>
  </mc:AlternateContent>
  <bookViews>
    <workbookView windowWidth="18330" windowHeight="12150" firstSheet="1" activeTab="1"/>
  </bookViews>
  <sheets>
    <sheet name="Sheet1" sheetId="1" state="hidden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<sst xmlns="http://schemas.openxmlformats.org/spreadsheetml/2006/main" count="169" uniqueCount="85">
  <si>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额外包</t>
  </si>
  <si>
    <t>大隐静脉特器-2/z1029</t>
  </si>
  <si>
    <t>纸塑袋 15cm  (中）</t>
  </si>
  <si>
    <t>手术室</t>
  </si>
  <si>
    <t>包装材料</t>
  </si>
  <si>
    <t>单包内器械数量/把</t>
  </si>
  <si>
    <t>单价（把）</t>
  </si>
  <si>
    <t>按最低单把单价收取</t>
  </si>
  <si>
    <r>
      <rPr>
        <sz val="10"/>
        <color rgb="FF000000"/>
        <rFont val="宋体"/>
        <charset val="134"/>
      </rPr>
      <t>纸塑袋</t>
    </r>
    <r>
      <rPr>
        <sz val="10"/>
        <color rgb="FF000000"/>
        <rFont val="Droid Sans Fallback"/>
        <charset val="134"/>
      </rPr>
      <t xml:space="preserve"> 10cm  (</t>
    </r>
    <r>
      <rPr>
        <sz val="10"/>
        <color rgb="FF000000"/>
        <rFont val="宋体"/>
        <charset val="134"/>
      </rPr>
      <t>小）</t>
    </r>
  </si>
  <si>
    <t>纸塑袋20cm (大）</t>
  </si>
  <si>
    <r>
      <rPr>
        <sz val="10"/>
        <color rgb="FF000000"/>
        <rFont val="WenQuanYiZenHeiSharp"/>
        <charset val="134"/>
      </rPr>
      <t xml:space="preserve">纸塑袋 </t>
    </r>
    <r>
      <rPr>
        <sz val="10"/>
        <color rgb="FF000000"/>
        <rFont val="LiberationSerif"/>
        <charset val="134"/>
      </rPr>
      <t>25cm</t>
    </r>
    <r>
      <rPr>
        <sz val="10"/>
        <color rgb="FF000000"/>
        <rFont val="WenQuanYiZenHeiSharp"/>
        <charset val="134"/>
      </rPr>
      <t>（特大）</t>
    </r>
  </si>
  <si>
    <t>无纺布</t>
  </si>
  <si>
    <t>带公式</t>
  </si>
  <si>
    <t>纸塑袋</t>
  </si>
  <si>
    <t>3件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</si>
  <si>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30cm</t>
    </r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</si>
  <si>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20cm</t>
    </r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</si>
  <si>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10cm</t>
    </r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</si>
  <si>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15cm</t>
    </r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</si>
  <si>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25cm</t>
    </r>
  </si>
  <si>
    <r>
      <rPr>
        <sz val="10"/>
        <color rgb="FF000000"/>
        <rFont val="宋体"/>
        <charset val="134"/>
      </rPr>
      <t>低温灭菌（套）</t>
    </r>
    <r>
      <rPr>
        <sz val="10"/>
        <color rgb="FF000000"/>
        <rFont val="Droid Sans Fallback"/>
        <charset val="134"/>
      </rPr>
      <t>5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</si>
  <si>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 xml:space="preserve">1 </t>
    </r>
    <r>
      <rPr>
        <sz val="10"/>
        <color rgb="FF000000"/>
        <rFont val="宋体"/>
        <charset val="134"/>
      </rPr>
      <t>（套）</t>
    </r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</si>
  <si>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10</t>
    </r>
    <r>
      <rPr>
        <sz val="10"/>
        <color rgb="FF000000"/>
        <rFont val="宋体"/>
        <charset val="134"/>
      </rPr>
      <t>件</t>
    </r>
  </si>
  <si>
    <t>1 （套）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</si>
  <si>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20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</si>
  <si>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（套）</t>
    </r>
  </si>
  <si>
    <t>30°腹腔镜-1</t>
  </si>
  <si>
    <t>低温灭菌 20cm</t>
  </si>
  <si>
    <t>1</t>
  </si>
  <si>
    <t xml:space="preserve">手术室 </t>
  </si>
  <si>
    <t>低温器械保护盒</t>
  </si>
  <si>
    <t>换药包(120布)</t>
  </si>
  <si>
    <t>外二</t>
  </si>
  <si>
    <t>纸塑袋 15cm (中）</t>
  </si>
  <si>
    <t>20cm*20cm</t>
  </si>
  <si>
    <r>
      <rPr>
        <sz val="10"/>
        <color rgb="FF000000"/>
        <rFont val="宋体"/>
        <charset val="134"/>
      </rPr>
      <t>大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20cm*20cm*15cm</t>
    </r>
    <r>
      <rPr>
        <sz val="10"/>
        <color rgb="FF000000"/>
        <rFont val="宋体"/>
        <charset val="134"/>
      </rPr>
      <t>）</t>
    </r>
  </si>
  <si>
    <r>
      <rPr>
        <sz val="10"/>
        <color rgb="FF000000"/>
        <rFont val="宋体"/>
        <charset val="134"/>
      </rPr>
      <t>敷料大（</t>
    </r>
    <r>
      <rPr>
        <sz val="10"/>
        <color rgb="FF000000"/>
        <rFont val="Droid Sans Fallback"/>
        <charset val="134"/>
      </rPr>
      <t>30cm*30cm*50cm</t>
    </r>
    <r>
      <rPr>
        <sz val="10"/>
        <color rgb="FF000000"/>
        <rFont val="宋体"/>
        <charset val="134"/>
      </rPr>
      <t>）</t>
    </r>
  </si>
  <si>
    <t>敷料小（20cm*20cm*15cm）</t>
  </si>
  <si>
    <r>
      <rPr>
        <sz val="10"/>
        <color rgb="FF000000"/>
        <rFont val="宋体"/>
        <charset val="134"/>
      </rPr>
      <t>敷料中（</t>
    </r>
    <r>
      <rPr>
        <sz val="10"/>
        <color rgb="FF000000"/>
        <rFont val="Droid Sans Fallback"/>
        <charset val="134"/>
      </rPr>
      <t>20cm*20cm*30cm</t>
    </r>
    <r>
      <rPr>
        <sz val="10"/>
        <color rgb="FF000000"/>
        <rFont val="宋体"/>
        <charset val="134"/>
      </rPr>
      <t>）</t>
    </r>
  </si>
  <si>
    <t>1删除包材 、器械数、在包数后面插入模版</t>
  </si>
  <si>
    <t>2、删除单价</t>
  </si>
  <si>
    <t>3、添加图标</t>
  </si>
  <si>
    <t>4、调整格式</t>
  </si>
  <si>
    <t>t喜欢  ：Ctrl+F</t>
  </si>
  <si>
    <t>替换</t>
  </si>
  <si>
    <t>输入（纸塑袋）</t>
  </si>
  <si>
    <t>高温</t>
  </si>
  <si>
    <t>器械把数</t>
  </si>
  <si>
    <t>单价</t>
  </si>
  <si>
    <t>1件</t>
  </si>
  <si>
    <t>纸塑袋 10cm  (小）</t>
  </si>
  <si>
    <t>纸塑袋 25cm（特大）</t>
  </si>
  <si>
    <t>2件</t>
  </si>
  <si>
    <t>3件及以上</t>
  </si>
  <si>
    <t>无纺布包装</t>
  </si>
  <si>
    <t>3件及 以上</t>
  </si>
  <si>
    <t>纸塑袋包装</t>
  </si>
  <si>
    <t>低温</t>
  </si>
  <si>
    <t>低温灭菌 30cm</t>
  </si>
  <si>
    <t>低温灭菌 10cm</t>
  </si>
  <si>
    <t>低温灭菌 15cm</t>
  </si>
  <si>
    <t>低温灭菌 25cm</t>
  </si>
  <si>
    <t>5件</t>
  </si>
  <si>
    <t>低温灭菌（套）5件</t>
  </si>
  <si>
    <t>6件</t>
  </si>
  <si>
    <t>7件</t>
  </si>
  <si>
    <t>8件</t>
  </si>
  <si>
    <t>9-10件</t>
  </si>
  <si>
    <t>低温灭菌 （套）10件</t>
  </si>
  <si>
    <t>11件</t>
  </si>
  <si>
    <t>15件</t>
  </si>
  <si>
    <t>低温灭菌 （套）20件</t>
  </si>
  <si>
    <t>1（套）</t>
  </si>
  <si>
    <t>低温收费按件数叠加即可</t>
  </si>
  <si>
    <t>敷料包</t>
  </si>
  <si>
    <t>长15cm*宽10cm</t>
  </si>
  <si>
    <t>敷料大（30cm*30cm*50cm）</t>
  </si>
  <si>
    <t>敷料中（20cm*20cm*30cm）</t>
  </si>
  <si>
    <t>特殊收费</t>
  </si>
  <si>
    <t>科室</t>
  </si>
  <si>
    <t>包名称</t>
  </si>
  <si>
    <t>耳鼻喉</t>
  </si>
  <si>
    <t>冲洗头</t>
  </si>
  <si>
    <t>根绝包类型收费  器械5件算1件</t>
  </si>
  <si>
    <t>橄榄头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</si>
</sst>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_ "/>
    <numFmt numFmtId="178" formatCode="[$-10804]0.00;\(0.00\)"/>
    <numFmt numFmtId="179" formatCode="[$-10804]yyyy/m/d"/>
  </numFmts>
  <fonts count="34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b/>
      <sz val="12"/>
      <color rgb="FF000000"/>
      <name val="Microsoft YaHei"/>
      <charset val="134"/>
    </font>
    <font>
      <sz val="11"/>
      <color theme="1"/>
      <name val="Microsoft YaHei"/>
      <charset val="134"/>
    </font>
    <font>
      <sz val="11"/>
      <color rgb="FF000000"/>
      <name val="Microsoft YaHei"/>
      <charset val="134"/>
    </font>
    <font>
      <sz val="11"/>
      <color rgb="FFFF0000"/>
      <name val="Microsoft YaHei"/>
      <charset val="134"/>
    </font>
    <font>
      <sz val="10"/>
      <color rgb="FF000000"/>
      <name val="宋体"/>
      <charset val="134"/>
      <scheme val="minor"/>
    </font>
    <font>
      <b/>
      <sz val="11"/>
      <color theme="1"/>
      <name val="Microsoft YaHei"/>
      <charset val="134"/>
    </font>
    <font>
      <sz val="11"/>
      <color theme="4" tint="-0.25"/>
      <name val="Microsoft YaHei"/>
      <charset val="134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WenQuanYiZenHeiSharp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color rgb="FF000000"/>
      <name val="LiberationSerif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</cellStyleXfs>
  <cellXfs count="6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176" fontId="2" fillId="0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177" fontId="4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left" vertical="center" wrapText="1" readingOrder="1"/>
    </xf>
    <xf numFmtId="49" fontId="6" fillId="0" borderId="0" xfId="0" applyNumberFormat="1" applyFont="1" applyFill="1" applyAlignment="1">
      <alignment horizontal="center" vertical="center" wrapText="1" readingOrder="1"/>
    </xf>
    <xf numFmtId="178" fontId="6" fillId="0" borderId="0" xfId="0" applyNumberFormat="1" applyFont="1" applyFill="1" applyAlignment="1">
      <alignment horizontal="center" vertical="center" wrapText="1" readingOrder="1"/>
    </xf>
    <xf numFmtId="0" fontId="6" fillId="0" borderId="0" xfId="0" applyNumberFormat="1" applyFont="1" applyFill="1" applyAlignment="1">
      <alignment horizontal="center" vertical="center" wrapText="1" readingOrder="1"/>
    </xf>
    <xf numFmtId="0" fontId="0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 readingOrder="1"/>
    </xf>
    <xf numFmtId="176" fontId="2" fillId="0" borderId="0" xfId="0" applyNumberFormat="1" applyFont="1" applyFill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7" fillId="0" borderId="6" xfId="0" applyNumberFormat="1" applyFont="1" applyFill="1" applyBorder="1" applyAlignment="1">
      <alignment vertical="center" wrapText="1" readingOrder="1"/>
    </xf>
    <xf numFmtId="0" fontId="5" fillId="0" borderId="0" xfId="0" applyFont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vertical="center" wrapText="1" readingOrder="1"/>
    </xf>
    <xf numFmtId="178" fontId="5" fillId="0" borderId="1" xfId="0" applyNumberFormat="1" applyFont="1" applyFill="1" applyBorder="1" applyAlignment="1">
      <alignment horizontal="center" vertical="center" wrapText="1" readingOrder="1"/>
    </xf>
    <xf numFmtId="49" fontId="5" fillId="0" borderId="1" xfId="0" applyNumberFormat="1" applyFont="1" applyFill="1" applyBorder="1" applyAlignment="1">
      <alignment horizontal="center" vertical="center" wrapText="1" readingOrder="1"/>
    </xf>
    <xf numFmtId="0" fontId="5" fillId="0" borderId="8" xfId="0" applyNumberFormat="1" applyFont="1" applyFill="1" applyBorder="1" applyAlignment="1">
      <alignment vertical="center" wrapText="1" readingOrder="1"/>
    </xf>
    <xf numFmtId="0" fontId="5" fillId="0" borderId="1" xfId="0" applyNumberFormat="1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 readingOrder="1"/>
    </xf>
    <xf numFmtId="178" fontId="8" fillId="0" borderId="1" xfId="0" applyNumberFormat="1" applyFont="1" applyFill="1" applyBorder="1" applyAlignment="1">
      <alignment horizontal="center" vertical="center" wrapText="1" readingOrder="1"/>
    </xf>
    <xf numFmtId="49" fontId="8" fillId="0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179" fontId="9" fillId="0" borderId="1" xfId="49" applyNumberFormat="1" applyFont="1" applyFill="1" applyBorder="1" applyAlignment="1">
      <alignment horizontal="left" vertical="center" wrapText="1" readingOrder="1"/>
    </xf>
    <xf numFmtId="0" fontId="9" fillId="0" borderId="1" xfId="49" applyNumberFormat="1" applyFont="1" applyFill="1" applyBorder="1" applyAlignment="1">
      <alignment horizontal="left" vertical="center" wrapText="1" readingOrder="1"/>
    </xf>
    <xf numFmtId="0" fontId="9" fillId="0" borderId="1" xfId="0" applyNumberFormat="1" applyFont="1" applyFill="1" applyBorder="1" applyAlignment="1">
      <alignment horizontal="left" vertical="center" wrapText="1" readingOrder="1"/>
    </xf>
    <xf numFmtId="49" fontId="9" fillId="0" borderId="1" xfId="0" applyNumberFormat="1" applyFont="1" applyFill="1" applyBorder="1" applyAlignment="1">
      <alignment horizontal="center" vertical="center" wrapText="1" readingOrder="1"/>
    </xf>
    <xf numFmtId="178" fontId="9" fillId="0" borderId="1" xfId="0" applyNumberFormat="1" applyFont="1" applyFill="1" applyBorder="1" applyAlignment="1">
      <alignment horizontal="center" vertical="center" wrapText="1" readingOrder="1"/>
    </xf>
    <xf numFmtId="178" fontId="9" fillId="0" borderId="1" xfId="49" applyNumberFormat="1" applyFont="1" applyFill="1" applyBorder="1" applyAlignment="1">
      <alignment horizontal="center" vertical="center" wrapText="1" readingOrder="1"/>
    </xf>
    <xf numFmtId="176" fontId="9" fillId="0" borderId="1" xfId="0" applyNumberFormat="1" applyFont="1" applyFill="1" applyBorder="1" applyAlignment="1">
      <alignment horizontal="center" vertical="center" wrapText="1" readingOrder="1"/>
    </xf>
    <xf numFmtId="0" fontId="9" fillId="0" borderId="1" xfId="0" applyNumberFormat="1" applyFont="1" applyFill="1" applyBorder="1" applyAlignment="1">
      <alignment horizontal="center" vertical="center" wrapText="1" readingOrder="1"/>
    </xf>
    <xf numFmtId="0" fontId="10" fillId="0" borderId="1" xfId="0" applyNumberFormat="1" applyFont="1" applyFill="1" applyBorder="1" applyAlignment="1">
      <alignment horizontal="left" vertical="center" wrapText="1" readingOrder="1"/>
    </xf>
    <xf numFmtId="0" fontId="11" fillId="0" borderId="1" xfId="0" applyFont="1" applyFill="1" applyBorder="1" applyAlignment="1">
      <alignment vertical="center"/>
    </xf>
    <xf numFmtId="49" fontId="9" fillId="0" borderId="1" xfId="0" applyNumberFormat="1" applyFont="1" applyFill="1" applyBorder="1" applyAlignment="1">
      <alignment horizontal="center" vertical="top" wrapText="1" readingOrder="1"/>
    </xf>
    <xf numFmtId="178" fontId="9" fillId="0" borderId="1" xfId="0" applyNumberFormat="1" applyFont="1" applyFill="1" applyBorder="1" applyAlignment="1">
      <alignment horizontal="center" vertical="top" wrapText="1" readingOrder="1"/>
    </xf>
    <xf numFmtId="0" fontId="10" fillId="2" borderId="0" xfId="0" applyNumberFormat="1" applyFont="1" applyFill="1" applyAlignment="1">
      <alignment horizontal="left" vertical="center" wrapText="1" readingOrder="1"/>
    </xf>
    <xf numFmtId="178" fontId="10" fillId="0" borderId="1" xfId="0" applyNumberFormat="1" applyFont="1" applyFill="1" applyBorder="1" applyAlignment="1">
      <alignment horizontal="left" vertical="center" wrapText="1" readingOrder="1"/>
    </xf>
    <xf numFmtId="0" fontId="12" fillId="2" borderId="0" xfId="0" applyFont="1" applyFill="1">
      <alignment vertical="center"/>
    </xf>
    <xf numFmtId="0" fontId="9" fillId="0" borderId="0" xfId="0" applyNumberFormat="1" applyFont="1" applyFill="1" applyAlignment="1">
      <alignment horizontal="left" vertical="center" wrapText="1" readingOrder="1"/>
    </xf>
    <xf numFmtId="49" fontId="9" fillId="0" borderId="0" xfId="0" applyNumberFormat="1" applyFont="1" applyFill="1" applyAlignment="1">
      <alignment horizontal="center" vertical="center" wrapText="1" readingOrder="1"/>
    </xf>
    <xf numFmtId="178" fontId="9" fillId="0" borderId="0" xfId="0" applyNumberFormat="1" applyFont="1" applyFill="1" applyAlignment="1">
      <alignment horizontal="center" vertical="center" wrapText="1" readingOrder="1"/>
    </xf>
    <xf numFmtId="178" fontId="9" fillId="0" borderId="1" xfId="0" applyNumberFormat="1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178" fontId="9" fillId="0" borderId="9" xfId="0" applyNumberFormat="1" applyFont="1" applyFill="1" applyBorder="1" applyAlignment="1">
      <alignment horizontal="center" vertical="top" wrapText="1" readingOrder="1"/>
    </xf>
    <xf numFmtId="178" fontId="9" fillId="0" borderId="10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52"/>
  <sheetViews>
    <sheetView topLeftCell="A7" workbookViewId="0">
      <selection activeCell="E35" sqref="E35:E36"/>
    </sheetView>
  </sheetViews>
  <sheetFormatPr defaultColWidth="9" defaultRowHeight="13.5"/>
  <cols>
    <col min="1" max="1" width="16.375" customWidth="1"/>
    <col min="2" max="2" width="21.25" customWidth="1"/>
    <col min="3" max="3" width="18.25" style="45" customWidth="1"/>
    <col min="4" max="4" width="12.75" style="45" customWidth="1"/>
    <col min="6" max="6" width="11.625" customWidth="1"/>
    <col min="14" max="14" width="23.375" customWidth="1"/>
  </cols>
  <sheetData>
    <row r="2" spans="1:19">
      <c r="H2" s="46">
        <v>45757</v>
      </c>
      <c r="I2" s="47">
        <v>1501236</v>
      </c>
      <c r="J2" s="47" t="s">
        <v>0</v>
      </c>
      <c r="K2" s="47">
        <v>20369120</v>
      </c>
      <c r="L2" s="47" t="s">
        <v>1</v>
      </c>
      <c r="M2" s="47">
        <v>1</v>
      </c>
      <c r="N2" s="48" t="s">
        <v>2</v>
      </c>
      <c r="O2" s="49">
        <v>1</v>
      </c>
      <c r="P2" s="50">
        <v>8.8</v>
      </c>
      <c r="Q2" s="51">
        <v>13.2</v>
      </c>
      <c r="R2" s="51">
        <v>13.2</v>
      </c>
      <c r="S2" t="s">
        <v>3</v>
      </c>
    </row>
    <row r="3" spans="1:19">
      <c r="B3" s="48" t="s">
        <v>4</v>
      </c>
      <c r="C3" s="52" t="s">
        <v>5</v>
      </c>
      <c r="D3" s="53" t="s">
        <v>6</v>
      </c>
      <c r="H3" s="46"/>
      <c r="I3" s="47"/>
      <c r="J3" s="47"/>
      <c r="K3" s="47"/>
      <c r="L3" s="47"/>
      <c r="M3" s="47"/>
      <c r="N3" s="48" t="s">
        <v>7</v>
      </c>
      <c r="O3" s="49">
        <v>1</v>
      </c>
      <c r="P3" s="50">
        <v>4.4</v>
      </c>
      <c r="Q3" s="51"/>
      <c r="R3" s="51"/>
    </row>
    <row r="4" spans="1:19">
      <c r="B4" s="54" t="s">
        <v>8</v>
      </c>
      <c r="C4" s="49">
        <v>1</v>
      </c>
      <c r="D4" s="50">
        <v>6.4</v>
      </c>
    </row>
    <row r="5" spans="1:19">
      <c r="B5" s="48" t="s">
        <v>2</v>
      </c>
      <c r="C5" s="49">
        <v>1</v>
      </c>
      <c r="D5" s="50">
        <v>8.8</v>
      </c>
      <c r="E5">
        <v>8.79</v>
      </c>
    </row>
    <row r="6" spans="1:19">
      <c r="B6" s="48" t="s">
        <v>9</v>
      </c>
      <c r="C6" s="49">
        <v>1</v>
      </c>
      <c r="D6" s="53">
        <v>10.4</v>
      </c>
      <c r="E6">
        <v>10.39</v>
      </c>
    </row>
    <row r="7" spans="1:19">
      <c r="B7" s="55" t="s">
        <v>10</v>
      </c>
      <c r="C7" s="56">
        <v>1</v>
      </c>
      <c r="D7" s="57">
        <v>12.8</v>
      </c>
      <c r="E7">
        <v>12.79</v>
      </c>
    </row>
    <row r="8" spans="1:19">
      <c r="B8" s="49"/>
      <c r="C8" s="50"/>
      <c r="D8" s="50"/>
    </row>
    <row r="9" spans="1:19">
      <c r="A9" s="48" t="s">
        <v>2</v>
      </c>
      <c r="B9" s="49">
        <v>1</v>
      </c>
      <c r="C9" s="50">
        <v>8.8</v>
      </c>
      <c r="D9" s="50">
        <v>13.2</v>
      </c>
    </row>
    <row r="10" spans="1:19">
      <c r="A10" s="48" t="s">
        <v>7</v>
      </c>
      <c r="B10" s="49">
        <v>1</v>
      </c>
      <c r="C10" s="50">
        <v>4.4</v>
      </c>
      <c r="D10" s="50"/>
    </row>
    <row r="11" spans="1:19">
      <c r="A11" s="48" t="s">
        <v>8</v>
      </c>
      <c r="B11" s="49">
        <v>1</v>
      </c>
      <c r="C11" s="50">
        <v>6.4</v>
      </c>
      <c r="D11" s="50">
        <v>10.8</v>
      </c>
    </row>
    <row r="12" spans="1:19">
      <c r="A12" s="48" t="s">
        <v>7</v>
      </c>
      <c r="B12" s="49">
        <v>1</v>
      </c>
      <c r="C12" s="50">
        <v>4.4</v>
      </c>
      <c r="D12" s="50"/>
    </row>
    <row r="13" spans="1:19">
      <c r="A13" s="58" t="s">
        <v>11</v>
      </c>
      <c r="B13" s="59" t="s">
        <v>11</v>
      </c>
      <c r="C13" s="49">
        <f>E13/D13</f>
        <v>3</v>
      </c>
      <c r="D13" s="50">
        <v>4.4</v>
      </c>
      <c r="E13" s="50">
        <v>13.2</v>
      </c>
      <c r="F13" s="60" t="s">
        <v>12</v>
      </c>
    </row>
    <row r="14" spans="1:19">
      <c r="A14" s="58" t="s">
        <v>13</v>
      </c>
      <c r="B14" s="48" t="s">
        <v>7</v>
      </c>
      <c r="C14" s="49">
        <f>E14/D14</f>
        <v>3</v>
      </c>
      <c r="D14" s="50">
        <v>4.4</v>
      </c>
      <c r="E14" s="50">
        <v>13.2</v>
      </c>
      <c r="F14" s="60" t="s">
        <v>12</v>
      </c>
      <c r="G14" t="s">
        <v>14</v>
      </c>
    </row>
    <row r="15" spans="1:19">
      <c r="A15" s="61"/>
      <c r="B15" s="62"/>
      <c r="C15" s="63"/>
      <c r="D15" s="63"/>
    </row>
    <row r="16" spans="1:19">
      <c r="A16" s="61"/>
      <c r="B16" s="62"/>
      <c r="C16" s="63"/>
      <c r="D16" s="63"/>
    </row>
    <row r="19" spans="2:5">
      <c r="B19" s="64" t="s">
        <v>15</v>
      </c>
      <c r="C19" s="49">
        <v>1</v>
      </c>
      <c r="D19" s="50">
        <v>28</v>
      </c>
      <c r="E19">
        <v>27.97</v>
      </c>
    </row>
    <row r="20" spans="2:5">
      <c r="B20" s="64" t="s">
        <v>16</v>
      </c>
      <c r="C20" s="49">
        <v>1</v>
      </c>
      <c r="D20" s="50">
        <v>22.4</v>
      </c>
      <c r="E20">
        <v>22.38</v>
      </c>
    </row>
    <row r="21" spans="2:5">
      <c r="B21" s="59" t="s">
        <v>17</v>
      </c>
      <c r="C21" s="49">
        <v>1</v>
      </c>
      <c r="D21" s="50">
        <v>17.6</v>
      </c>
      <c r="E21">
        <v>17.58</v>
      </c>
    </row>
    <row r="22" spans="2:5">
      <c r="B22" s="59" t="s">
        <v>18</v>
      </c>
      <c r="C22" s="49">
        <v>1</v>
      </c>
      <c r="D22" s="50">
        <v>20</v>
      </c>
      <c r="E22">
        <v>19.98</v>
      </c>
    </row>
    <row r="23" spans="2:5">
      <c r="B23" s="59" t="s">
        <v>19</v>
      </c>
      <c r="C23" s="49">
        <v>1</v>
      </c>
      <c r="D23" s="50">
        <f>30*0.8</f>
        <v>24</v>
      </c>
      <c r="E23">
        <v>23.98</v>
      </c>
    </row>
    <row r="27" spans="2:5">
      <c r="B27" s="64" t="s">
        <v>20</v>
      </c>
      <c r="C27" s="49" t="s">
        <v>21</v>
      </c>
      <c r="D27" s="50">
        <v>70.4</v>
      </c>
      <c r="E27">
        <v>70.33</v>
      </c>
    </row>
    <row r="28" spans="2:5">
      <c r="B28" s="59" t="s">
        <v>22</v>
      </c>
      <c r="C28" s="49" t="s">
        <v>23</v>
      </c>
      <c r="D28" s="50">
        <v>132</v>
      </c>
      <c r="E28">
        <v>131.87</v>
      </c>
    </row>
    <row r="29" spans="2:5">
      <c r="B29" s="64" t="s">
        <v>24</v>
      </c>
      <c r="C29" s="49" t="s">
        <v>25</v>
      </c>
      <c r="D29" s="50">
        <v>240</v>
      </c>
      <c r="E29">
        <v>239.76</v>
      </c>
    </row>
    <row r="33" spans="1:6">
      <c r="A33" s="48" t="s">
        <v>26</v>
      </c>
      <c r="B33" s="64" t="s">
        <v>27</v>
      </c>
      <c r="C33" s="49" t="s">
        <v>28</v>
      </c>
      <c r="D33" s="50">
        <v>22.4</v>
      </c>
      <c r="E33" s="50">
        <f>D33+D34</f>
        <v>30.4</v>
      </c>
      <c r="F33" s="45" t="s">
        <v>29</v>
      </c>
    </row>
    <row r="34" spans="1:6">
      <c r="A34" s="54" t="s">
        <v>30</v>
      </c>
      <c r="B34" s="48" t="s">
        <v>30</v>
      </c>
      <c r="C34" s="49" t="s">
        <v>28</v>
      </c>
      <c r="D34" s="50">
        <v>8</v>
      </c>
      <c r="E34" s="50"/>
    </row>
    <row r="35" spans="1:6">
      <c r="A35" s="48" t="s">
        <v>31</v>
      </c>
      <c r="B35" s="64" t="s">
        <v>11</v>
      </c>
      <c r="C35" s="49">
        <v>3</v>
      </c>
      <c r="D35" s="50">
        <v>4.4</v>
      </c>
      <c r="E35" s="50">
        <v>22</v>
      </c>
      <c r="F35" s="45" t="s">
        <v>32</v>
      </c>
    </row>
    <row r="36" spans="1:6">
      <c r="A36" s="48"/>
      <c r="B36" s="59" t="s">
        <v>33</v>
      </c>
      <c r="C36" s="49">
        <v>1</v>
      </c>
      <c r="D36" s="50">
        <v>8.8</v>
      </c>
      <c r="E36" s="50"/>
      <c r="F36" s="45"/>
    </row>
    <row r="38" spans="1:6">
      <c r="B38" s="64" t="s">
        <v>34</v>
      </c>
      <c r="C38" s="49">
        <v>1</v>
      </c>
      <c r="D38" s="50">
        <v>3.2</v>
      </c>
    </row>
    <row r="39" spans="1:6">
      <c r="B39" s="59" t="s">
        <v>35</v>
      </c>
      <c r="C39" s="49">
        <v>1</v>
      </c>
      <c r="D39" s="50">
        <v>2</v>
      </c>
    </row>
    <row r="40" ht="24.75" spans="1:6">
      <c r="B40" s="59" t="s">
        <v>36</v>
      </c>
      <c r="C40" s="49">
        <v>1</v>
      </c>
      <c r="D40" s="50">
        <v>28</v>
      </c>
    </row>
    <row r="41" spans="1:6">
      <c r="B41" s="59" t="s">
        <v>37</v>
      </c>
      <c r="C41" s="65">
        <v>1</v>
      </c>
      <c r="D41" s="50">
        <v>12</v>
      </c>
    </row>
    <row r="42" ht="24.75" spans="1:6">
      <c r="B42" s="59" t="s">
        <v>38</v>
      </c>
      <c r="C42" s="65">
        <v>1</v>
      </c>
      <c r="D42" s="66">
        <v>24</v>
      </c>
      <c r="E42" s="67"/>
    </row>
    <row r="47" spans="1:6">
      <c r="B47" t="s">
        <v>39</v>
      </c>
    </row>
    <row r="48" spans="1:6">
      <c r="B48" t="s">
        <v>40</v>
      </c>
    </row>
    <row r="49" spans="2:4">
      <c r="B49" t="s">
        <v>41</v>
      </c>
    </row>
    <row r="50" spans="2:4">
      <c r="B50" t="s">
        <v>42</v>
      </c>
    </row>
    <row r="52" spans="2:4">
      <c r="B52" t="s">
        <v>43</v>
      </c>
      <c r="C52" s="45" t="s">
        <v>44</v>
      </c>
      <c r="D52" s="45" t="s">
        <v>45</v>
      </c>
    </row>
  </sheetData>
  <mergeCells count="15">
    <mergeCell ref="A35:A36"/>
    <mergeCell ref="D9:D10"/>
    <mergeCell ref="D11:D12"/>
    <mergeCell ref="E33:E34"/>
    <mergeCell ref="E35:E36"/>
    <mergeCell ref="F33:F34"/>
    <mergeCell ref="F35:F36"/>
    <mergeCell ref="H2:H3"/>
    <mergeCell ref="I2:I3"/>
    <mergeCell ref="J2:J3"/>
    <mergeCell ref="K2:K3"/>
    <mergeCell ref="L2:L3"/>
    <mergeCell ref="M2:M3"/>
    <mergeCell ref="Q2:Q3"/>
    <mergeCell ref="R2:R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62"/>
  <sheetViews>
    <sheetView tabSelected="1" topLeftCell="A49" workbookViewId="0">
      <selection activeCell="C68" sqref="C68"/>
    </sheetView>
  </sheetViews>
  <sheetFormatPr defaultColWidth="9" defaultRowHeight="13.5"/>
  <cols>
    <col min="1" max="1" width="7.50833333333333" style="1" customWidth="1"/>
    <col min="2" max="2" width="19.8416666666667" style="1" customWidth="1"/>
    <col min="3" max="3" width="32.75" style="1" customWidth="1"/>
    <col min="4" max="5" width="24.25" style="2" customWidth="1"/>
    <col min="6" max="6" width="21.125" style="1" customWidth="1"/>
    <col min="7" max="7" width="11.0083333333333" style="1" customWidth="1"/>
    <col min="8" max="8" width="9.84166666666667" style="1" customWidth="1"/>
    <col min="9" max="16384" width="9" style="1"/>
  </cols>
  <sheetData>
    <row r="2" s="1" customFormat="1" spans="1:8">
      <c r="D2" s="2"/>
      <c r="E2" s="2"/>
    </row>
    <row r="3" s="1" customFormat="1" ht="31.25" customHeight="1" spans="1:8">
      <c r="A3" s="3" t="s">
        <v>46</v>
      </c>
      <c r="B3" s="4" t="s">
        <v>47</v>
      </c>
      <c r="C3" s="5" t="s">
        <v>4</v>
      </c>
      <c r="D3" s="6" t="s">
        <v>5</v>
      </c>
      <c r="E3" s="5" t="s">
        <v>6</v>
      </c>
      <c r="F3" s="3" t="s">
        <v>48</v>
      </c>
      <c r="G3" s="7"/>
      <c r="H3" s="7"/>
    </row>
    <row r="4" s="1" customFormat="1" ht="30.5" customHeight="1" spans="1:8">
      <c r="A4" s="8"/>
      <c r="B4" s="9" t="s">
        <v>49</v>
      </c>
      <c r="C4" s="10" t="s">
        <v>50</v>
      </c>
      <c r="D4" s="11">
        <v>1</v>
      </c>
      <c r="E4" s="10">
        <v>6.39</v>
      </c>
      <c r="F4" s="12">
        <f>E4</f>
        <v>6.39</v>
      </c>
      <c r="G4" s="13"/>
      <c r="H4" s="13"/>
    </row>
    <row r="5" s="1" customFormat="1" ht="30.5" customHeight="1" spans="1:8">
      <c r="A5" s="8"/>
      <c r="B5" s="9" t="s">
        <v>49</v>
      </c>
      <c r="C5" s="10" t="s">
        <v>2</v>
      </c>
      <c r="D5" s="11">
        <v>1</v>
      </c>
      <c r="E5" s="10">
        <v>8.79</v>
      </c>
      <c r="F5" s="12">
        <f>E5</f>
        <v>8.79</v>
      </c>
      <c r="G5" s="13"/>
      <c r="H5" s="13"/>
    </row>
    <row r="6" s="1" customFormat="1" ht="30.5" customHeight="1" spans="1:8">
      <c r="A6" s="8"/>
      <c r="B6" s="9" t="s">
        <v>49</v>
      </c>
      <c r="C6" s="10" t="s">
        <v>9</v>
      </c>
      <c r="D6" s="11">
        <v>1</v>
      </c>
      <c r="E6" s="10">
        <v>10.39</v>
      </c>
      <c r="F6" s="12">
        <f>E6</f>
        <v>10.39</v>
      </c>
      <c r="G6" s="13"/>
      <c r="H6" s="13"/>
    </row>
    <row r="7" s="1" customFormat="1" ht="30.5" customHeight="1" spans="1:8">
      <c r="A7" s="8"/>
      <c r="B7" s="9" t="s">
        <v>49</v>
      </c>
      <c r="C7" s="14" t="s">
        <v>51</v>
      </c>
      <c r="D7" s="11">
        <v>1</v>
      </c>
      <c r="E7" s="10">
        <v>12.79</v>
      </c>
      <c r="F7" s="12">
        <f>E7</f>
        <v>12.79</v>
      </c>
      <c r="G7" s="13"/>
      <c r="H7" s="13"/>
    </row>
    <row r="8" s="1" customFormat="1" ht="30.5" customHeight="1" spans="1:8">
      <c r="A8" s="8"/>
      <c r="B8" s="9" t="s">
        <v>52</v>
      </c>
      <c r="C8" s="10" t="s">
        <v>2</v>
      </c>
      <c r="D8" s="11">
        <v>1</v>
      </c>
      <c r="E8" s="10">
        <v>8.79</v>
      </c>
      <c r="F8" s="10">
        <v>13.19</v>
      </c>
      <c r="G8" s="13"/>
      <c r="H8" s="13"/>
    </row>
    <row r="9" s="1" customFormat="1" ht="30.5" customHeight="1" spans="1:8">
      <c r="A9" s="8"/>
      <c r="B9" s="9"/>
      <c r="C9" s="10" t="s">
        <v>7</v>
      </c>
      <c r="D9" s="11">
        <v>1</v>
      </c>
      <c r="E9" s="10">
        <v>4.4</v>
      </c>
      <c r="F9" s="10"/>
      <c r="G9" s="13"/>
      <c r="H9" s="13"/>
    </row>
    <row r="10" s="1" customFormat="1" ht="30.5" customHeight="1" spans="1:8">
      <c r="A10" s="8"/>
      <c r="B10" s="9" t="s">
        <v>52</v>
      </c>
      <c r="C10" s="10" t="s">
        <v>50</v>
      </c>
      <c r="D10" s="11">
        <v>1</v>
      </c>
      <c r="E10" s="10">
        <v>6.39</v>
      </c>
      <c r="F10" s="10">
        <v>10.79</v>
      </c>
      <c r="G10" s="13"/>
      <c r="H10" s="13"/>
    </row>
    <row r="11" s="1" customFormat="1" ht="30.5" customHeight="1" spans="1:8">
      <c r="A11" s="8"/>
      <c r="B11" s="9"/>
      <c r="C11" s="10" t="s">
        <v>7</v>
      </c>
      <c r="D11" s="11">
        <v>1</v>
      </c>
      <c r="E11" s="10">
        <v>4.4</v>
      </c>
      <c r="F11" s="10"/>
      <c r="G11" s="13"/>
      <c r="H11" s="13"/>
    </row>
    <row r="12" s="1" customFormat="1" ht="30.5" customHeight="1" spans="1:8">
      <c r="A12" s="8"/>
      <c r="B12" s="11" t="s">
        <v>53</v>
      </c>
      <c r="C12" s="15" t="s">
        <v>11</v>
      </c>
      <c r="D12" s="11">
        <f>F12/E12</f>
        <v>3</v>
      </c>
      <c r="E12" s="10">
        <v>4.4</v>
      </c>
      <c r="F12" s="10">
        <v>13.2</v>
      </c>
      <c r="G12" s="16" t="s">
        <v>54</v>
      </c>
      <c r="H12" s="13"/>
    </row>
    <row r="13" s="1" customFormat="1" ht="30.5" customHeight="1" spans="1:8">
      <c r="A13" s="8"/>
      <c r="B13" s="11" t="s">
        <v>55</v>
      </c>
      <c r="C13" s="10" t="s">
        <v>7</v>
      </c>
      <c r="D13" s="11">
        <f>F13/E13</f>
        <v>3</v>
      </c>
      <c r="E13" s="10">
        <v>4.4</v>
      </c>
      <c r="F13" s="10">
        <v>13.2</v>
      </c>
      <c r="G13" s="16" t="s">
        <v>56</v>
      </c>
      <c r="H13" s="13"/>
    </row>
    <row r="14" s="1" customFormat="1" spans="1:8">
      <c r="B14" s="17"/>
      <c r="C14" s="18"/>
      <c r="D14" s="19"/>
      <c r="E14" s="20"/>
    </row>
    <row r="15" s="1" customFormat="1" spans="1:8">
      <c r="B15" s="17"/>
      <c r="C15" s="18"/>
      <c r="D15" s="19"/>
      <c r="E15" s="20"/>
    </row>
    <row r="16" spans="1:8">
      <c r="E16" s="21"/>
    </row>
    <row r="17" ht="31.25" customHeight="1" spans="1:6">
      <c r="A17" s="3" t="s">
        <v>57</v>
      </c>
      <c r="B17" s="4" t="s">
        <v>47</v>
      </c>
      <c r="C17" s="5" t="s">
        <v>4</v>
      </c>
      <c r="D17" s="6" t="s">
        <v>5</v>
      </c>
      <c r="E17" s="5" t="s">
        <v>6</v>
      </c>
      <c r="F17" s="3" t="s">
        <v>48</v>
      </c>
    </row>
    <row r="18" s="1" customFormat="1" ht="30.5" customHeight="1" spans="1:6">
      <c r="A18" s="8"/>
      <c r="B18" s="22" t="s">
        <v>49</v>
      </c>
      <c r="C18" s="15" t="s">
        <v>58</v>
      </c>
      <c r="D18" s="23">
        <v>1</v>
      </c>
      <c r="E18" s="10">
        <v>27.97</v>
      </c>
      <c r="F18" s="8">
        <f>E18</f>
        <v>27.97</v>
      </c>
    </row>
    <row r="19" s="1" customFormat="1" ht="30.5" customHeight="1" spans="1:6">
      <c r="A19" s="8"/>
      <c r="B19" s="22" t="s">
        <v>49</v>
      </c>
      <c r="C19" s="15" t="s">
        <v>27</v>
      </c>
      <c r="D19" s="23">
        <v>1</v>
      </c>
      <c r="E19" s="10">
        <v>22.38</v>
      </c>
      <c r="F19" s="8">
        <f>E19</f>
        <v>22.38</v>
      </c>
    </row>
    <row r="20" s="1" customFormat="1" ht="30.5" customHeight="1" spans="1:6">
      <c r="A20" s="8"/>
      <c r="B20" s="22" t="s">
        <v>49</v>
      </c>
      <c r="C20" s="15" t="s">
        <v>59</v>
      </c>
      <c r="D20" s="23">
        <v>1</v>
      </c>
      <c r="E20" s="10">
        <v>17.58</v>
      </c>
      <c r="F20" s="8">
        <f>E20</f>
        <v>17.58</v>
      </c>
    </row>
    <row r="21" s="1" customFormat="1" ht="30.5" customHeight="1" spans="1:6">
      <c r="A21" s="8"/>
      <c r="B21" s="22" t="s">
        <v>49</v>
      </c>
      <c r="C21" s="15" t="s">
        <v>60</v>
      </c>
      <c r="D21" s="23">
        <v>1</v>
      </c>
      <c r="E21" s="10">
        <v>19.98</v>
      </c>
      <c r="F21" s="8">
        <f>E21</f>
        <v>19.98</v>
      </c>
    </row>
    <row r="22" s="1" customFormat="1" ht="30.5" customHeight="1" spans="1:6">
      <c r="A22" s="8"/>
      <c r="B22" s="22" t="s">
        <v>49</v>
      </c>
      <c r="C22" s="15" t="s">
        <v>61</v>
      </c>
      <c r="D22" s="23">
        <v>1</v>
      </c>
      <c r="E22" s="10">
        <v>23.98</v>
      </c>
      <c r="F22" s="8">
        <f>E22</f>
        <v>23.98</v>
      </c>
    </row>
    <row r="23" spans="1:6">
      <c r="E23" s="21"/>
    </row>
    <row r="24" spans="1:6">
      <c r="E24" s="21"/>
    </row>
    <row r="25" ht="31.25" customHeight="1" spans="1:6">
      <c r="A25" s="24" t="s">
        <v>57</v>
      </c>
      <c r="B25" s="3" t="s">
        <v>47</v>
      </c>
      <c r="C25" s="5" t="s">
        <v>4</v>
      </c>
      <c r="D25" s="6" t="s">
        <v>5</v>
      </c>
      <c r="E25" s="5" t="s">
        <v>6</v>
      </c>
      <c r="F25" s="3" t="s">
        <v>48</v>
      </c>
    </row>
    <row r="26" s="1" customFormat="1" ht="30.5" customHeight="1" spans="1:6">
      <c r="A26" s="25"/>
      <c r="B26" s="8" t="s">
        <v>62</v>
      </c>
      <c r="C26" s="15" t="s">
        <v>63</v>
      </c>
      <c r="D26" s="23" t="s">
        <v>23</v>
      </c>
      <c r="E26" s="10">
        <v>70.33</v>
      </c>
      <c r="F26" s="8">
        <f>E26</f>
        <v>70.33</v>
      </c>
    </row>
    <row r="27" s="1" customFormat="1" ht="30.5" customHeight="1" spans="1:6">
      <c r="A27" s="25"/>
      <c r="B27" s="26" t="s">
        <v>64</v>
      </c>
      <c r="C27" s="15" t="s">
        <v>63</v>
      </c>
      <c r="D27" s="23" t="s">
        <v>23</v>
      </c>
      <c r="E27" s="10">
        <v>70.33</v>
      </c>
      <c r="F27" s="26">
        <v>87.91</v>
      </c>
    </row>
    <row r="28" s="1" customFormat="1" ht="30.5" customHeight="1" spans="1:6">
      <c r="A28" s="25"/>
      <c r="B28" s="27"/>
      <c r="C28" s="15" t="s">
        <v>59</v>
      </c>
      <c r="D28" s="23">
        <v>1</v>
      </c>
      <c r="E28" s="10">
        <v>17.58</v>
      </c>
      <c r="F28" s="27"/>
    </row>
    <row r="29" s="1" customFormat="1" ht="30.5" customHeight="1" spans="1:6">
      <c r="A29" s="25"/>
      <c r="B29" s="25" t="s">
        <v>65</v>
      </c>
      <c r="C29" s="15" t="s">
        <v>63</v>
      </c>
      <c r="D29" s="23" t="s">
        <v>23</v>
      </c>
      <c r="E29" s="10">
        <v>70.33</v>
      </c>
      <c r="F29" s="25">
        <v>105.49</v>
      </c>
    </row>
    <row r="30" s="1" customFormat="1" ht="30.5" customHeight="1" spans="1:6">
      <c r="A30" s="25"/>
      <c r="B30" s="25"/>
      <c r="C30" s="15" t="s">
        <v>59</v>
      </c>
      <c r="D30" s="23">
        <v>1</v>
      </c>
      <c r="E30" s="10">
        <v>17.58</v>
      </c>
      <c r="F30" s="25"/>
    </row>
    <row r="31" s="1" customFormat="1" ht="30.5" customHeight="1" spans="1:6">
      <c r="A31" s="25"/>
      <c r="B31" s="27"/>
      <c r="C31" s="15" t="s">
        <v>59</v>
      </c>
      <c r="D31" s="23">
        <v>1</v>
      </c>
      <c r="E31" s="10">
        <v>17.58</v>
      </c>
      <c r="F31" s="27"/>
    </row>
    <row r="32" s="1" customFormat="1" ht="30.5" customHeight="1" spans="1:6">
      <c r="A32" s="25"/>
      <c r="B32" s="25" t="s">
        <v>66</v>
      </c>
      <c r="C32" s="15" t="s">
        <v>63</v>
      </c>
      <c r="D32" s="23" t="s">
        <v>23</v>
      </c>
      <c r="E32" s="10">
        <v>70.33</v>
      </c>
      <c r="F32" s="25">
        <v>123.07</v>
      </c>
    </row>
    <row r="33" s="1" customFormat="1" ht="30.5" customHeight="1" spans="1:6">
      <c r="A33" s="25"/>
      <c r="B33" s="25"/>
      <c r="C33" s="15" t="s">
        <v>59</v>
      </c>
      <c r="D33" s="23">
        <v>1</v>
      </c>
      <c r="E33" s="10">
        <v>17.58</v>
      </c>
      <c r="F33" s="25"/>
    </row>
    <row r="34" s="1" customFormat="1" ht="30.5" customHeight="1" spans="1:6">
      <c r="A34" s="25"/>
      <c r="B34" s="25"/>
      <c r="C34" s="15" t="s">
        <v>59</v>
      </c>
      <c r="D34" s="23">
        <v>1</v>
      </c>
      <c r="E34" s="10">
        <v>17.58</v>
      </c>
      <c r="F34" s="25"/>
    </row>
    <row r="35" s="1" customFormat="1" ht="30.5" customHeight="1" spans="1:6">
      <c r="A35" s="25"/>
      <c r="B35" s="27"/>
      <c r="C35" s="15" t="s">
        <v>59</v>
      </c>
      <c r="D35" s="23">
        <v>1</v>
      </c>
      <c r="E35" s="10">
        <v>17.58</v>
      </c>
      <c r="F35" s="27"/>
    </row>
    <row r="36" s="1" customFormat="1" ht="30.5" customHeight="1" spans="1:6">
      <c r="A36" s="25"/>
      <c r="B36" s="8" t="s">
        <v>67</v>
      </c>
      <c r="C36" s="15" t="s">
        <v>68</v>
      </c>
      <c r="D36" s="23" t="s">
        <v>23</v>
      </c>
      <c r="E36" s="10">
        <v>131.87</v>
      </c>
      <c r="F36" s="8">
        <v>131.87</v>
      </c>
    </row>
    <row r="37" s="1" customFormat="1" ht="30.5" customHeight="1" spans="1:6">
      <c r="A37" s="25"/>
      <c r="B37" s="26" t="s">
        <v>69</v>
      </c>
      <c r="C37" s="15" t="s">
        <v>68</v>
      </c>
      <c r="D37" s="23" t="s">
        <v>23</v>
      </c>
      <c r="E37" s="10">
        <v>131.87</v>
      </c>
      <c r="F37" s="26">
        <v>149.45</v>
      </c>
    </row>
    <row r="38" s="1" customFormat="1" ht="30.5" customHeight="1" spans="1:6">
      <c r="A38" s="25"/>
      <c r="B38" s="27"/>
      <c r="C38" s="15" t="s">
        <v>59</v>
      </c>
      <c r="D38" s="23">
        <v>1</v>
      </c>
      <c r="E38" s="10">
        <v>17.58</v>
      </c>
      <c r="F38" s="27"/>
    </row>
    <row r="39" s="1" customFormat="1" ht="30.5" customHeight="1" spans="1:6">
      <c r="A39" s="25"/>
      <c r="B39" s="25" t="s">
        <v>70</v>
      </c>
      <c r="C39" s="15" t="s">
        <v>68</v>
      </c>
      <c r="D39" s="23" t="s">
        <v>23</v>
      </c>
      <c r="E39" s="10">
        <v>131.87</v>
      </c>
      <c r="F39" s="25">
        <v>202.2</v>
      </c>
    </row>
    <row r="40" s="1" customFormat="1" ht="30.5" customHeight="1" spans="1:6">
      <c r="A40" s="25"/>
      <c r="B40" s="27"/>
      <c r="C40" s="15" t="s">
        <v>63</v>
      </c>
      <c r="D40" s="23" t="s">
        <v>23</v>
      </c>
      <c r="E40" s="10">
        <v>70.33</v>
      </c>
      <c r="F40" s="27"/>
    </row>
    <row r="41" s="1" customFormat="1" ht="30.5" customHeight="1" spans="1:6">
      <c r="A41" s="27"/>
      <c r="B41" s="8">
        <v>20</v>
      </c>
      <c r="C41" s="15" t="s">
        <v>71</v>
      </c>
      <c r="D41" s="23" t="s">
        <v>72</v>
      </c>
      <c r="E41" s="10">
        <v>239.76</v>
      </c>
      <c r="F41" s="8">
        <v>239.76</v>
      </c>
    </row>
    <row r="42" ht="30.5" customHeight="1" spans="1:6">
      <c r="A42" s="28" t="s">
        <v>73</v>
      </c>
      <c r="B42" s="28"/>
      <c r="C42" s="28"/>
      <c r="D42" s="28"/>
      <c r="E42" s="28"/>
      <c r="F42" s="28"/>
    </row>
    <row r="43" ht="30.5" customHeight="1" spans="1:6">
      <c r="A43" s="29"/>
      <c r="B43" s="29"/>
      <c r="C43" s="30"/>
      <c r="D43" s="31"/>
      <c r="E43" s="30"/>
      <c r="F43" s="32"/>
    </row>
    <row r="44" ht="30.5" customHeight="1" spans="1:6">
      <c r="A44" s="29"/>
      <c r="B44" s="29"/>
      <c r="C44" s="30"/>
      <c r="D44" s="31"/>
      <c r="E44" s="30"/>
      <c r="F44" s="32"/>
    </row>
    <row r="45" ht="30.5" customHeight="1" spans="1:6">
      <c r="A45" s="29"/>
      <c r="B45" s="29"/>
      <c r="C45" s="30"/>
      <c r="D45" s="31"/>
      <c r="E45" s="30"/>
      <c r="F45" s="32"/>
    </row>
    <row r="46" ht="30.5" customHeight="1" spans="1:6">
      <c r="A46" s="8" t="s">
        <v>74</v>
      </c>
      <c r="B46" s="8"/>
      <c r="C46" s="5" t="s">
        <v>4</v>
      </c>
      <c r="D46" s="6" t="s">
        <v>5</v>
      </c>
      <c r="E46" s="5" t="s">
        <v>6</v>
      </c>
      <c r="F46" s="3" t="s">
        <v>48</v>
      </c>
    </row>
    <row r="47" s="1" customFormat="1" ht="30.5" customHeight="1" spans="1:6">
      <c r="A47" s="8"/>
      <c r="B47" s="8"/>
      <c r="C47" s="15" t="s">
        <v>34</v>
      </c>
      <c r="D47" s="23">
        <v>1</v>
      </c>
      <c r="E47" s="15">
        <v>3.2</v>
      </c>
      <c r="F47" s="8">
        <f>E47*D47</f>
        <v>3.2</v>
      </c>
    </row>
    <row r="48" s="1" customFormat="1" ht="30.5" customHeight="1" spans="1:6">
      <c r="A48" s="8"/>
      <c r="B48" s="8"/>
      <c r="C48" s="15" t="s">
        <v>75</v>
      </c>
      <c r="D48" s="23">
        <v>1</v>
      </c>
      <c r="E48" s="15">
        <v>2</v>
      </c>
      <c r="F48" s="8">
        <f>E48*D48</f>
        <v>2</v>
      </c>
    </row>
    <row r="49" s="1" customFormat="1" ht="30.5" customHeight="1" spans="1:11">
      <c r="A49" s="8"/>
      <c r="B49" s="8"/>
      <c r="C49" s="15" t="s">
        <v>76</v>
      </c>
      <c r="D49" s="23">
        <v>1</v>
      </c>
      <c r="E49" s="15">
        <v>27.97</v>
      </c>
      <c r="F49" s="8">
        <f>E49*D49</f>
        <v>27.97</v>
      </c>
    </row>
    <row r="50" s="1" customFormat="1" ht="30.5" customHeight="1" spans="1:11">
      <c r="A50" s="8"/>
      <c r="B50" s="8"/>
      <c r="C50" s="15" t="s">
        <v>37</v>
      </c>
      <c r="D50" s="8">
        <v>1</v>
      </c>
      <c r="E50" s="15">
        <v>19.98</v>
      </c>
      <c r="F50" s="8">
        <f>E50*D50</f>
        <v>19.98</v>
      </c>
    </row>
    <row r="51" s="1" customFormat="1" ht="30.5" customHeight="1" spans="1:11">
      <c r="A51" s="8"/>
      <c r="B51" s="8"/>
      <c r="C51" s="15" t="s">
        <v>77</v>
      </c>
      <c r="D51" s="8">
        <v>1</v>
      </c>
      <c r="E51" s="15">
        <v>23.98</v>
      </c>
      <c r="F51" s="8">
        <f>E51*D51</f>
        <v>23.98</v>
      </c>
    </row>
    <row r="54" spans="1:11">
      <c r="K54" s="33"/>
    </row>
    <row r="55" ht="31.25" customHeight="1" spans="1:11">
      <c r="A55" s="3" t="s">
        <v>78</v>
      </c>
      <c r="B55" s="3"/>
      <c r="C55" s="3"/>
      <c r="D55" s="3"/>
      <c r="E55" s="3"/>
      <c r="F55" s="3"/>
      <c r="K55" s="33"/>
    </row>
    <row r="56" ht="30.5" customHeight="1" spans="1:11">
      <c r="A56" s="3" t="s">
        <v>79</v>
      </c>
      <c r="B56" s="34" t="s">
        <v>80</v>
      </c>
      <c r="C56" s="5" t="s">
        <v>4</v>
      </c>
      <c r="D56" s="6" t="s">
        <v>5</v>
      </c>
      <c r="E56" s="5" t="s">
        <v>6</v>
      </c>
      <c r="F56" s="3" t="s">
        <v>48</v>
      </c>
      <c r="G56" s="35"/>
    </row>
    <row r="57" ht="30.5" customHeight="1" spans="1:11">
      <c r="A57" s="28" t="s">
        <v>29</v>
      </c>
      <c r="B57" s="36" t="s">
        <v>26</v>
      </c>
      <c r="C57" s="37" t="s">
        <v>27</v>
      </c>
      <c r="D57" s="38" t="s">
        <v>28</v>
      </c>
      <c r="E57" s="37">
        <v>22.38</v>
      </c>
      <c r="F57" s="37">
        <f>E57+E58</f>
        <v>30.38</v>
      </c>
    </row>
    <row r="58" ht="30.5" customHeight="1" spans="1:11">
      <c r="A58" s="28"/>
      <c r="B58" s="39"/>
      <c r="C58" s="40" t="s">
        <v>30</v>
      </c>
      <c r="D58" s="38" t="s">
        <v>28</v>
      </c>
      <c r="E58" s="37">
        <v>8</v>
      </c>
      <c r="F58" s="37"/>
    </row>
    <row r="59" ht="30.5" customHeight="1" spans="1:11">
      <c r="A59" s="41" t="s">
        <v>32</v>
      </c>
      <c r="B59" s="42" t="s">
        <v>31</v>
      </c>
      <c r="C59" s="43" t="s">
        <v>11</v>
      </c>
      <c r="D59" s="44">
        <v>3</v>
      </c>
      <c r="E59" s="43">
        <v>4.4</v>
      </c>
      <c r="F59" s="43">
        <v>21.99</v>
      </c>
    </row>
    <row r="60" ht="30.5" customHeight="1" spans="1:11">
      <c r="A60" s="41"/>
      <c r="B60" s="42"/>
      <c r="C60" s="43" t="s">
        <v>33</v>
      </c>
      <c r="D60" s="44">
        <v>1</v>
      </c>
      <c r="E60" s="43">
        <v>8.79</v>
      </c>
      <c r="F60" s="43"/>
    </row>
    <row r="61" ht="30.5" customHeight="1" spans="1:11">
      <c r="A61" s="8" t="s">
        <v>81</v>
      </c>
      <c r="B61" s="8" t="s">
        <v>82</v>
      </c>
      <c r="C61" s="8" t="s">
        <v>83</v>
      </c>
      <c r="D61" s="8"/>
      <c r="E61" s="8"/>
      <c r="F61" s="8"/>
    </row>
    <row r="62" ht="30.5" customHeight="1" spans="1:11">
      <c r="A62" s="8"/>
      <c r="B62" s="8" t="s">
        <v>84</v>
      </c>
      <c r="C62" s="8"/>
      <c r="D62" s="8"/>
      <c r="E62" s="8"/>
      <c r="F62" s="8"/>
    </row>
  </sheetData>
  <mergeCells count="27">
    <mergeCell ref="A42:F42"/>
    <mergeCell ref="A55:F55"/>
    <mergeCell ref="A3:A13"/>
    <mergeCell ref="A17:A22"/>
    <mergeCell ref="A25:A41"/>
    <mergeCell ref="A57:A58"/>
    <mergeCell ref="A59:A60"/>
    <mergeCell ref="A61:A62"/>
    <mergeCell ref="B8:B9"/>
    <mergeCell ref="B10:B11"/>
    <mergeCell ref="B27:B28"/>
    <mergeCell ref="B29:B31"/>
    <mergeCell ref="B32:B35"/>
    <mergeCell ref="B37:B38"/>
    <mergeCell ref="B39:B40"/>
    <mergeCell ref="B59:B60"/>
    <mergeCell ref="C61:C62"/>
    <mergeCell ref="F8:F9"/>
    <mergeCell ref="F10:F11"/>
    <mergeCell ref="F27:F28"/>
    <mergeCell ref="F29:F31"/>
    <mergeCell ref="F32:F35"/>
    <mergeCell ref="F37:F38"/>
    <mergeCell ref="F39:F40"/>
    <mergeCell ref="F57:F58"/>
    <mergeCell ref="F59:F60"/>
    <mergeCell ref="A46:B51"/>
  </mergeCells>
  <pageMargins left="0.75" right="0.75" top="1" bottom="1" header="0.5" footer="0.5"/>
  <pageSetup paperSize="1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2024-04-01T02:28:00Z</dcterms:created>
  <dcterms:modified xsi:type="dcterms:W3CDTF">2026-09-02T01:40:00Z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B04CC47954554BA8B3D47B6468C5B83E_13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